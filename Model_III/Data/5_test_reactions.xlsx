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GitHub\epo_tiol\QSPR\QSPR_0_100_both_SMILES_as_one\Data\"/>
    </mc:Choice>
  </mc:AlternateContent>
  <xr:revisionPtr revIDLastSave="0" documentId="13_ncr:1_{25555A95-4AF3-4BE4-BCF5-81CC02FC8C3B}" xr6:coauthVersionLast="47" xr6:coauthVersionMax="47" xr10:uidLastSave="{00000000-0000-0000-0000-000000000000}"/>
  <bookViews>
    <workbookView xWindow="-108" yWindow="-108" windowWidth="30936" windowHeight="16776" xr2:uid="{3457D3EB-F650-4A8A-A7FA-5D4A9CA16FF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<sst xmlns="http://schemas.openxmlformats.org/spreadsheetml/2006/main" count="62" uniqueCount="34">
  <si>
    <t>https://www.reaxys.com/reaxys/secured/hopinto.do?context=R&amp;query=RX.ID%3D29834758&amp;database=RX&amp;origin=ReaxysOutput&amp;ln=</t>
  </si>
  <si>
    <t>O=C1CCC=C1.SCC2=CC=CC=C2&gt;&gt;O=C3CC[C@@H](SCC4=CC=CC=C4)C3</t>
  </si>
  <si>
    <t>-78 - 25; -78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</si>
  <si>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</si>
  <si>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</si>
  <si>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</si>
  <si>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</si>
  <si>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</si>
  <si>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</si>
  <si>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</si>
  <si>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https://www.reaxys.com/reaxys/secured/hopinto.do?context=R&amp;query=RX.ID%3D66913336&amp;database=RX&amp;origin=ReaxysOutput&amp;ln=</t>
  </si>
  <si>
    <t>CC1=CC=CC=C1CS.O=C(\C=C\C1=CC=CC=C1)C1=CC=CC=C1&gt;&gt;CC1=CC=CC=C1CS[C@@H](CC(=O)C1=CC=CC=C1)C1=CC=CC=C1</t>
  </si>
  <si>
    <t>98 percent ee</t>
  </si>
  <si>
    <t>https://www.reaxys.com/reaxys/secured/hopinto.do?context=R&amp;query=RX.ID%3D66913307&amp;database=RX&amp;origin=ReaxysOutput&amp;ln=</t>
  </si>
  <si>
    <t>O=C(C1=CC=CC=C1)C=CC2=CC=CC=C2N(=O)=O.SCC3=CC=CC=C3&gt;&gt;O=C(C4=CC=CC=C4)C[C@@H](C5=CC=CC=C5N(=O)=O)SCC6=CC=CC=C6</t>
  </si>
  <si>
    <t>-65; -78</t>
  </si>
  <si>
    <t>46 percent ee</t>
  </si>
  <si>
    <t>O=C(C1=CC=CC=C1)/C=C/C2=CC=CC=C2.NCCS&gt;&gt;NCCS[C@H](C3=CC=CC=C3)CC(C4=CC=CC=C4)=O</t>
  </si>
  <si>
    <t>SCC1(CC1)CC(OC)=O.O=C(/C=C/C2=CC(C3SCCCS3)=CC=C2)C4=CC=CC=C4Br&gt;&gt;O=C(C[C@@H](C5=CC(C6SCCCS6)=CC=C5)SCC7(CC7)CC(OC)=O)C8=CC=CC=C8Br</t>
  </si>
  <si>
    <t>Reaction: Links to Reaxys</t>
  </si>
  <si>
    <t>SMILES</t>
  </si>
  <si>
    <t>SMILES_substrate_1</t>
  </si>
  <si>
    <t>SMILES_substrate_2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</si>
  <si>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</si>
  <si>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</si>
  <si>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</si>
  <si>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</si>
  <si>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</si>
  <si>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</si>
  <si>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ee</t>
  </si>
  <si>
    <t>Reagent</t>
  </si>
  <si>
    <t>Catalyst</t>
  </si>
  <si>
    <t>Solvent (Reaction Details)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</si>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</sst>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FEDF-0823-425D-AB34-1A6E89EC9F50}">
  <dimension ref="A1:R6"/>
  <sheetViews>
    <sheetView tabSelected="1" workbookViewId="0">
      <selection activeCell="N2" sqref="N2:N6"/>
    </sheetView>
  </sheetViews>
  <sheetFormatPr defaultRowHeight="14.4" x14ac:dyDescent="0.3"/>
  <cols>
    <col min="1" max="16384" width="8.88671875" style="3"/>
  </cols>
  <sheetData>
    <row r="1" spans="1:18" x14ac:dyDescent="0.3">
      <c r="A1" s="3" t="s">
        <v>19</v>
      </c>
      <c r="B1" s="3" t="s">
        <v>20</v>
      </c>
      <c r="C1" s="3" t="s">
        <v>23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>
        <v>9</v>
      </c>
      <c r="M1" s="3">
        <v>10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</row>
    <row r="2" spans="1:18" x14ac:dyDescent="0.3">
      <c r="A2" s="1" t="s">
        <v>0</v>
      </c>
      <c r="B2" s="1" t="str">
        <f>_xlfn.TEXTBEFORE(C2,"&gt;&gt;")</f>
        <v>O=C1CCC=C1.SCC2=CC=CC=C2</v>
      </c>
      <c r="C2" s="1" t="s">
        <v>1</v>
      </c>
      <c r="D2" s="1" t="s">
        <v>2</v>
      </c>
      <c r="E2" s="1" t="s">
        <v>3</v>
      </c>
      <c r="F2" s="1" t="s">
        <v>4</v>
      </c>
      <c r="G2" s="2">
        <v>90</v>
      </c>
      <c r="H2" s="2" t="s">
        <v>5</v>
      </c>
      <c r="I2" s="2">
        <v>80</v>
      </c>
      <c r="J2" s="1" t="s">
        <v>6</v>
      </c>
      <c r="K2" s="1" t="s">
        <v>7</v>
      </c>
      <c r="L2" s="1" t="s">
        <v>8</v>
      </c>
      <c r="M2" s="1" t="s">
        <v>9</v>
      </c>
      <c r="N2" s="3">
        <v>80</v>
      </c>
    </row>
    <row r="3" spans="1:18" x14ac:dyDescent="0.3">
      <c r="A3" s="1" t="s">
        <v>10</v>
      </c>
      <c r="B3" s="1" t="str">
        <f t="shared" ref="B3:B6" si="0">_xlfn.TEXTBEFORE(C3,"&gt;&gt;")</f>
        <v>CC1=CC=CC=C1CS.O=C(\C=C\C1=CC=CC=C1)C1=CC=CC=C1</v>
      </c>
      <c r="C3" s="1" t="s">
        <v>11</v>
      </c>
      <c r="D3" s="1" t="s">
        <v>2</v>
      </c>
      <c r="E3" s="1" t="s">
        <v>3</v>
      </c>
      <c r="F3" s="1" t="s">
        <v>4</v>
      </c>
      <c r="G3" s="2">
        <v>94</v>
      </c>
      <c r="H3" s="2" t="s">
        <v>12</v>
      </c>
      <c r="I3" s="2">
        <v>98</v>
      </c>
      <c r="J3" s="1" t="s">
        <v>6</v>
      </c>
      <c r="K3" s="1" t="s">
        <v>7</v>
      </c>
      <c r="L3" s="1" t="s">
        <v>8</v>
      </c>
      <c r="M3" s="1" t="s">
        <v>9</v>
      </c>
      <c r="N3" s="3">
        <v>98</v>
      </c>
    </row>
    <row r="4" spans="1:18" x14ac:dyDescent="0.3">
      <c r="A4" s="1" t="s">
        <v>13</v>
      </c>
      <c r="B4" s="1" t="str">
        <f t="shared" si="0"/>
        <v>O=C(C1=CC=CC=C1)C=CC2=CC=CC=C2N(=O)=O.SCC3=CC=CC=C3</v>
      </c>
      <c r="C4" s="1" t="s">
        <v>14</v>
      </c>
      <c r="D4" s="1" t="s">
        <v>15</v>
      </c>
      <c r="E4" s="1" t="s">
        <v>3</v>
      </c>
      <c r="F4" s="1" t="s">
        <v>4</v>
      </c>
      <c r="G4" s="2">
        <v>88</v>
      </c>
      <c r="H4" s="2" t="s">
        <v>16</v>
      </c>
      <c r="I4" s="2">
        <v>46</v>
      </c>
      <c r="J4" s="1" t="s">
        <v>6</v>
      </c>
      <c r="K4" s="1" t="s">
        <v>7</v>
      </c>
      <c r="L4" s="1" t="s">
        <v>8</v>
      </c>
      <c r="M4" s="1" t="s">
        <v>9</v>
      </c>
      <c r="N4" s="3">
        <v>46</v>
      </c>
    </row>
    <row r="5" spans="1:18" x14ac:dyDescent="0.3">
      <c r="A5" s="1"/>
      <c r="B5" s="1" t="str">
        <f t="shared" si="0"/>
        <v>O=C(C1=CC=CC=C1)/C=C/C2=CC=CC=C2.NCCS</v>
      </c>
      <c r="C5" s="1" t="s">
        <v>17</v>
      </c>
      <c r="D5" s="1" t="s">
        <v>2</v>
      </c>
      <c r="E5" s="1" t="s">
        <v>3</v>
      </c>
      <c r="F5" s="1" t="s">
        <v>4</v>
      </c>
      <c r="G5" s="2">
        <v>0</v>
      </c>
      <c r="H5" s="2">
        <v>0</v>
      </c>
      <c r="I5" s="2">
        <v>0</v>
      </c>
      <c r="J5" s="1" t="s">
        <v>6</v>
      </c>
      <c r="K5" s="1" t="s">
        <v>7</v>
      </c>
      <c r="L5" s="1" t="s">
        <v>8</v>
      </c>
      <c r="M5" s="1" t="s">
        <v>9</v>
      </c>
      <c r="N5" s="3">
        <v>0</v>
      </c>
    </row>
    <row r="6" spans="1:18" x14ac:dyDescent="0.3">
      <c r="B6" s="1" t="str">
        <f t="shared" si="0"/>
        <v>SCC1(CC1)CC(OC)=O.O=C(/C=C/C2=CC(C3SCCCS3)=CC=C2)C4=CC=CC=C4Br</v>
      </c>
      <c r="C6" s="3" t="s">
        <v>18</v>
      </c>
      <c r="D6" s="1" t="s">
        <v>2</v>
      </c>
      <c r="E6" s="1" t="s">
        <v>3</v>
      </c>
      <c r="F6" s="1" t="s">
        <v>4</v>
      </c>
      <c r="G6" s="2">
        <v>96</v>
      </c>
      <c r="H6" s="2">
        <v>22</v>
      </c>
      <c r="I6" s="2">
        <v>22</v>
      </c>
      <c r="J6" s="1" t="s">
        <v>6</v>
      </c>
      <c r="K6" s="1" t="s">
        <v>7</v>
      </c>
      <c r="L6" s="1" t="s">
        <v>8</v>
      </c>
      <c r="M6" s="1" t="s">
        <v>9</v>
      </c>
      <c r="N6" s="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2024-10-14T14:21:43Z</dcterms:created>
  <dcterms:modified xsi:type="dcterms:W3CDTF">2024-10-20T12:59:15Z</dcterms:modified>
</cp:coreProperties>
</file>