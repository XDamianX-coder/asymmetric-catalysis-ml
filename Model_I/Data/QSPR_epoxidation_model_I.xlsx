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leks\Documents\GitHub\epoksydacja\Data\"/>
    </mc:Choice>
  </mc:AlternateContent>
  <xr:revisionPtr revIDLastSave="0" documentId="13_ncr:1_{E848115F-81A4-422E-966A-553394FC0B2B}" xr6:coauthVersionLast="47" xr6:coauthVersionMax="47" xr10:uidLastSave="{00000000-0000-0000-0000-000000000000}"/>
  <bookViews>
    <workbookView xWindow="735" yWindow="73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</calcChain>
</file>

<file path=xl/sharedStrings.xml><?xml version="1.0" encoding="utf-8"?>
<sst xmlns="http://schemas.openxmlformats.org/spreadsheetml/2006/main" count="663" uniqueCount="276">
  <si>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</si>
  <si>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</si>
  <si>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</si>
  <si>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</si>
  <si>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</si>
  <si>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</si>
  <si>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</si>
  <si>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</si>
  <si>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</si>
  <si>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</si>
  <si>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</si>
  <si>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</si>
  <si>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</si>
  <si>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</si>
  <si>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</si>
  <si>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</si>
  <si>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</si>
  <si>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</si>
  <si>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</si>
  <si>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</si>
  <si>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</si>
  <si>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</si>
  <si>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</si>
  <si>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</si>
  <si>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</si>
  <si>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</si>
  <si>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</si>
  <si>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</si>
  <si>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</si>
  <si>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CC1=CC=C(C=CC(=O)C2=CC=CC=C2)C=C1&gt;&gt;CC1=CC=C(C=C1)[C@@H]1O[C@H]1C(=O)C1=CC=CC=C1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</si>
  <si>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</si>
  <si>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</si>
  <si>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</si>
  <si>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</si>
  <si>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</si>
  <si>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</si>
  <si>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</si>
  <si>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</si>
  <si>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</si>
  <si>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</si>
  <si>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</si>
  <si>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</si>
  <si>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</si>
  <si>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</si>
  <si>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</si>
  <si>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ClC1=CC=CC=C1C=CC(C2=CC=CC=C2)=O&gt;&gt;[H][C@]3(C(C4=CC=CC=C4)=O)O[C@@]3(C5=C(C=CC=C5)Cl)[H]</t>
  </si>
  <si>
    <t>Overall yield = 32 percent; Overall yield = 33 mg</t>
  </si>
  <si>
    <t>30038384</t>
  </si>
  <si>
    <t>https://www.reaxys.com/reaxys/secured/hopinto.do?context=R&amp;query=RX.ID%3D30038384&amp;database=RX&amp;origin=ReaxysOutput&amp;ln=</t>
  </si>
  <si>
    <t>1-(4-nitro-phenyl)-3-phenyl-propenone</t>
  </si>
  <si>
    <t>trans-(2S,3R)-epoxy-3-phenyl-1-(4-nitrophenyl)-propan-1-one; trans-(2R,3S)-epoxy-3-phenyl-1-(4-nitrophenyl)-propan-1-one</t>
  </si>
  <si>
    <t>O=C(C1=CC=C(N(=O)=O)C=C1)C=CC2=CC=CC=C2&gt;&gt;O=C(C3=CC=C(N(=O)=O)C=C3)[C@@H]4O[C@H]4C5=CC=CC=C5</t>
  </si>
  <si>
    <t>Overall yield = 56 percent; Overall yield = 60.2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</si>
  <si>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</si>
  <si>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</si>
  <si>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</si>
  <si>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</si>
  <si>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ClC1=CC=C(C=CC(=O)C2=CC=CC=C2)C=C1&gt;&gt;ClC1=CC=C(C=C1)[C@@H]1O[C@H]1C(=O)C1=CC=CC=C1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</si>
  <si>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</si>
  <si>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</si>
  <si>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</si>
  <si>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</si>
  <si>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</si>
  <si>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</si>
  <si>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</si>
  <si>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</si>
  <si>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</si>
  <si>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</si>
  <si>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</si>
  <si>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O=C1C(CCC2=C1C=CC=C2)=CC3=CC=CC=C3&gt;&gt;O=C4C5=CC=CC=C5CC[C@]46O[C@H]6C7=CC=CC=C7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</si>
  <si>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</si>
  <si>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</si>
  <si>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</si>
  <si>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</si>
  <si>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</si>
  <si>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O=C(C1=CC=CC=C1)C=CC2=CC=C(N(=O)=O)C=C2&gt;&gt;O=C(C3=CC=CC=C3)[C@@H]4O[C@H]4C5=CC=C(N(=O)=O)C=C5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</si>
  <si>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</si>
  <si>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</si>
  <si>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</si>
  <si>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</si>
  <si>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</si>
  <si>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O=C(C1=CC=CC=C1)C=CC2=CC=CC(N(=O)=O)=C2&gt;&gt;O=C(C3=CC=CC=C3)[C@@H]4O[C@H]4C5=CC=CC(N(=O)=O)=C5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</si>
  <si>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</si>
  <si>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</si>
  <si>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</si>
  <si>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</si>
  <si>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</si>
  <si>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O=C(C1=CC=CC=C1)C=CC2=CC=CC=C2N(=O)=O&gt;&gt;O=C(C3=CC=CC=C3)[C@H]4O[C@@H]4C5=C(N(=O)=O)C=CC=C5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</si>
  <si>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</si>
  <si>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</si>
  <si>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</si>
  <si>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</si>
  <si>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</si>
  <si>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BrC1=CC=C(C=CC(=O)C2=CC=CC=C2)C=C1&gt;&gt;BrC1=CC=C(C=C1)[C@@H]1O[C@H]1C(=O)C1=CC=CC=C1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</si>
  <si>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</si>
  <si>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</si>
  <si>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</si>
  <si>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</si>
  <si>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</si>
  <si>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CC1=CC(CCC1)=O&gt;&gt;[H][C@]23O[C@]2(CCCC3=O)C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</si>
  <si>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</si>
  <si>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</si>
  <si>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</si>
  <si>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</si>
  <si>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</si>
  <si>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CC1=CC=C(C=C1)C(=O)C=CC1=CC=CC=C1&gt;&gt;CC1=CC=C(C=C1)C(=O)[C@@H]1O[C@H]1C1=CC=CC=C1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</si>
  <si>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</si>
  <si>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</si>
  <si>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</si>
  <si>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</si>
  <si>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</si>
  <si>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</si>
  <si>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</si>
  <si>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</si>
  <si>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</si>
  <si>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</si>
  <si>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</si>
  <si>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O=C(C=CC1=CC2=CC=CC=C2C=C1)C1=CC=CC=C1&gt;&gt;O=C([C@@H]1O[C@H]1C1=CC2=C(C=CC=C2)C=C1)C1=CC=CC=C1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</si>
  <si>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</si>
  <si>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</si>
  <si>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</si>
  <si>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</si>
  <si>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</si>
  <si>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O=C(C1=CC=CC=C1)C=CC2=C3C=CC=CC3=CC=C2&gt;&gt;O=C(C4=CC=CC=C4)[C@H]5O[C@@H]5C6=C7C=CC=CC7=CC=C6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</si>
  <si>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</si>
  <si>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</si>
  <si>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</si>
  <si>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</si>
  <si>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</si>
  <si>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FC1=CC=C(C=C1)C(=O)C=CC1=CC=CC=C1&gt;&gt;FC1=CC=C(C=C1)C(=O)[C@@H]1O[C@H]1C1=CC=CC=C1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</si>
  <si>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</si>
  <si>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</si>
  <si>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</si>
  <si>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</si>
  <si>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O=C1/C(C(C2=CC=CC=C12)=O)=C\C3=CC=CC=C3&gt;&gt;O=C4C5=C(C(C46O[C@@H]6C7=CC=CC=C7)=O)C=CC=C5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</si>
  <si>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</si>
  <si>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</si>
  <si>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</si>
  <si>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</si>
  <si>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</si>
  <si>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O=C(C=CC1=CC=CC=C1)C1=CC=CO1&gt;&gt;O=C([C@@H]1O[C@H]1C1=CC=CC=C1)C1=CC=CO1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</si>
  <si>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</si>
  <si>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</si>
  <si>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</si>
  <si>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</si>
  <si>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</si>
  <si>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CC(C)C(=O)C=CC1=CC=CC=C1&gt;&gt;CC(C)C(=O)[C@@H]1O[C@H]1C1=CC=CC=C1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</si>
  <si>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</si>
  <si>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</si>
  <si>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</si>
  <si>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</si>
  <si>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</si>
  <si>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O=C(C=CC1=CC2=CC=CC=C2S1)C1=CC=CC=C1&gt;&gt;O=C([C@@H]1O[C@H]1C1=CC2=CC=CC=C2S1)C1=CC=CC=C1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</si>
  <si>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</si>
  <si>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</si>
  <si>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</si>
  <si>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</si>
  <si>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O=C(C=CC1=CC=CC=C1)C1=CC=CS1&gt;&gt;O=C([C@@H]1O[C@H]1C1=CC=CC=C1)C1=CC=CS1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</si>
  <si>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</si>
  <si>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</si>
  <si>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</si>
  <si>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</si>
  <si>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</si>
  <si>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O=C(C=CC1=CC=CC=C1)C1=CC2=C(O1)C=CC=C2&gt;&gt;O=C([C@@H]1O[C@H]1C1=CC=CC=C1)C1=CC2=CC=CC=C2O1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</si>
  <si>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</si>
  <si>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</si>
  <si>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</si>
  <si>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</si>
  <si>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O=C(C=CC1=CC=CC=C1)C1=CC2=C(S1)C=CC=C2&gt;&gt;O=C([C@@H]1O[C@H]1C1=CC=CC=C1)C1=CC2=CC=CC=C2S1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</si>
  <si>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</si>
  <si>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</si>
  <si>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</si>
  <si>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</si>
  <si>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</si>
  <si>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O=C(C=CC1=CC=C(C=C1)C#N)C1=CC=CC=C1&gt;&gt;O=C([C@@H]1O[C@H]1C1=CC=C(C=C1)C#N)C1=CC=CC=C1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</si>
  <si>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</si>
  <si>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</si>
  <si>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</si>
  <si>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</si>
  <si>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</si>
  <si>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O=C(C=CC1=CC=CC=C1)C1=CC2=C(C=CC=C2)C=C1&gt;&gt;O=C([C@@H]1O[C@H]1C1=CC=CC=C1)C1=CC=C2C=CC=CC2=C1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</si>
  <si>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</si>
  <si>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</si>
  <si>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</si>
  <si>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</si>
  <si>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</si>
  <si>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FC1=CC=C(C=C1)C(=O)C=CC1=CC=C(Cl)C=C1&gt;&gt;FC1=CC=C(C=C1)C(=O)[C@@H]1O[C@H]1C1=CC=C(Cl)C=C1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</si>
  <si>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</si>
  <si>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</si>
  <si>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</si>
  <si>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</si>
  <si>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</si>
  <si>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O=C(\C=C\C=C\C1=CC=CC=C1)C1=CC=CC=C1&gt;&gt;O=C([C@@H]1O[C@H]1\C=C\C1=CC=CC=C1)C1=CC=CC=C1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</si>
  <si>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</si>
  <si>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</si>
  <si>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</si>
  <si>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</si>
  <si>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</si>
  <si>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</si>
  <si>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</si>
  <si>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</si>
  <si>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</si>
  <si>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</si>
  <si>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CC1=CC=CC=C1C(=O)C=CC1=CC=CC=C1&gt;&gt;CC1=CC=CC=C1C(=O)[C@@H]1O[C@H]1C1=CC=CC=C1</t>
  </si>
  <si>
    <t>68</t>
  </si>
  <si>
    <t>57910495</t>
  </si>
  <si>
    <t>https://www.reaxys.com/reaxys/secured/hopinto.do?context=R&amp;query=RX.ID%3D57910495&amp;database=RX&amp;origin=ReaxysOutput&amp;ln=</t>
  </si>
  <si>
    <t>4,4'-difluorochalcone</t>
  </si>
  <si>
    <t>[(2R,3S)-3-(4-fluorophenyl)-2-oxiranyl](4-fluorophenyl)methanone</t>
  </si>
  <si>
    <t>FC1=CC=C(C=CC(=O)C2=CC=C(F)C=C2)C=C1&gt;&gt;FC1=CC=C(C=C1)[C@@H]1O[C@H]1C(=O)C1=CC=C(F)C=C1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</si>
  <si>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</si>
  <si>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</si>
  <si>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</si>
  <si>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</si>
  <si>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FC(F)(C1=CC=C(C=C1)C=CC(C2=CC=CC=C2)=O)F&gt;&gt;FC(F)(C3=CC=C([C@@H]4O[C@H]4C(C5=CC=CC=C5)=O)C=C3)F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</si>
  <si>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</si>
  <si>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</si>
  <si>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</si>
  <si>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</si>
  <si>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</si>
  <si>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FC1=CC=C(C=CC(=O)C2=CC=C(C=C2)N(=O)=O)C=C1&gt;&gt;FC1=CC=C(C=C1)[C@@H]1O[C@H]1C(=O)C1=CC=C(C=C1)N(=O)=O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</si>
  <si>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</si>
  <si>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</si>
  <si>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</si>
  <si>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</si>
  <si>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</si>
  <si>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COC1=CC(C=CC(C2=CC=CC=C2)=O)=CC=C1&gt;&gt;COC3=CC([C@@H]4O[C@H]4C(C5=CC=CC=C5)=O)=CC=C3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</si>
  <si>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</si>
  <si>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</si>
  <si>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</si>
  <si>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</si>
  <si>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</si>
  <si>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CN1C=CC=C1C(=O)C=CC1=CC=CC=C1&gt;&gt;CN1C=CC=C1C(=O)[C@@H]1O[C@H]1C1=CC=CC=C1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</si>
  <si>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</si>
  <si>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</si>
  <si>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</si>
  <si>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</si>
  <si>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O=C(C1=CC=CC2=C1C=CC=C2)C=CC3=CC=CC=C3&gt;&gt;O=C(C4=C5C=CC=CC5=CC=C4)[C@@H]6O[C@H]6C7=CC=CC=C7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</si>
  <si>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</si>
  <si>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</si>
  <si>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</si>
  <si>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</si>
  <si>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</si>
  <si>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O=C(C1=CC=CC=C1)C=C2CCCC=C2&gt;&gt;[H][C@@]34CCC/C([C@@]3(O4)[H])=C\C(C5=CC=CC=C5)=O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</si>
  <si>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</si>
  <si>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</si>
  <si>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</si>
  <si>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</si>
  <si>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</si>
  <si>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CC(C=CC(C1=CC=CC=C1)=O)C&gt;&gt;CC([C@@H]2O[C@H]2C(C3=CC=CC=C3)=O)C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</si>
  <si>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</si>
  <si>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</si>
  <si>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</si>
  <si>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</si>
  <si>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</si>
  <si>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CC1=CC=C(C=C1)C=CC(C2=CC=C(N(=O)=O)C=C2)=O&gt;&gt;CC3=CC=C([C@@H]4O[C@H]4C(C5=CC=C(N(=O)=O)C=C5)=O)C=C3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</si>
  <si>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</si>
  <si>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</si>
  <si>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</si>
  <si>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</si>
  <si>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</si>
  <si>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ClC1=CC=C(C=CC(C2=CC=C(C=C2)N(=O)=O)=O)C=C1&gt;&gt;ClC3=CC=C(C=C3)[C@@H]4O[C@H]4C(C5=CC=C(C=C5)N(=O)=O)=O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</si>
  <si>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</si>
  <si>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</si>
  <si>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</si>
  <si>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</si>
  <si>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</si>
  <si>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O=C(C1=CC=CC=C1)C=CC(C2=CC=CC=C2)=O&gt;&gt;O=C(C3=CC=CC=C3)[C@@H]4O[C@H]4C(C5=CC=CC=C5)=O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</si>
  <si>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</si>
  <si>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</si>
  <si>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</si>
  <si>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</si>
  <si>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</si>
  <si>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CCCCCC=CC(C)=O&gt;&gt;CCCCC[C@@H]1O[C@H]1C(C)=O</t>
  </si>
  <si>
    <t>Overall yield = 88 percent; Overall yield = 166.0 mg; enantioselective reaction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</si>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</sst>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selection activeCell="B2" sqref="B2:B42"/>
    </sheetView>
  </sheetViews>
  <sheetFormatPr defaultRowHeight="15" x14ac:dyDescent="0.25"/>
  <cols>
    <col min="2" max="2" width="46.5703125" bestFit="1" customWidth="1"/>
    <col min="14" max="14" width="3.28515625" bestFit="1" customWidth="1"/>
  </cols>
  <sheetData>
    <row r="1" spans="1:26" x14ac:dyDescent="0.25">
      <c r="A1" t="s">
        <v>0</v>
      </c>
      <c r="B1" t="s">
        <v>275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</v>
      </c>
      <c r="B2" s="2" t="str">
        <f>_xlfn.TEXTBEFORE(G2, "&gt;&gt;")</f>
        <v>CC1=CC=C(C=CC(=O)C2=CC=CC=C2)C=C1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0</v>
      </c>
      <c r="K2" t="s">
        <v>32</v>
      </c>
      <c r="L2" t="s">
        <v>33</v>
      </c>
      <c r="M2" t="s">
        <v>34</v>
      </c>
      <c r="N2" s="1">
        <v>92</v>
      </c>
      <c r="O2">
        <v>96</v>
      </c>
      <c r="P2">
        <v>4</v>
      </c>
      <c r="Q2" t="s">
        <v>35</v>
      </c>
      <c r="R2" t="s">
        <v>36</v>
      </c>
      <c r="S2" t="s">
        <v>37</v>
      </c>
      <c r="T2">
        <v>12</v>
      </c>
      <c r="U2">
        <v>20</v>
      </c>
      <c r="V2">
        <v>2.4E-2</v>
      </c>
      <c r="W2">
        <v>0.2</v>
      </c>
      <c r="X2" t="s">
        <v>38</v>
      </c>
      <c r="Y2" t="s">
        <v>39</v>
      </c>
      <c r="Z2" t="s">
        <v>40</v>
      </c>
    </row>
    <row r="3" spans="1:26" x14ac:dyDescent="0.25">
      <c r="A3">
        <v>2</v>
      </c>
      <c r="B3" s="2" t="str">
        <f t="shared" ref="B3:B42" si="0">_xlfn.TEXTBEFORE(G3, "&gt;&gt;")</f>
        <v>ClC1=CC=CC=C1C=CC(C2=CC=CC=C2)=O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31</v>
      </c>
      <c r="J3">
        <v>0</v>
      </c>
      <c r="K3" t="s">
        <v>32</v>
      </c>
      <c r="L3" t="s">
        <v>46</v>
      </c>
      <c r="M3">
        <v>32</v>
      </c>
      <c r="N3" s="1">
        <v>55</v>
      </c>
      <c r="O3">
        <v>77.5</v>
      </c>
      <c r="P3">
        <v>22.5</v>
      </c>
      <c r="Q3" t="s">
        <v>35</v>
      </c>
      <c r="R3" t="s">
        <v>36</v>
      </c>
      <c r="S3" t="s">
        <v>37</v>
      </c>
      <c r="T3">
        <v>12</v>
      </c>
      <c r="U3">
        <v>20</v>
      </c>
      <c r="V3">
        <v>2.4E-2</v>
      </c>
      <c r="W3">
        <v>0.2</v>
      </c>
      <c r="X3" t="s">
        <v>38</v>
      </c>
      <c r="Y3" t="s">
        <v>39</v>
      </c>
      <c r="Z3" t="s">
        <v>40</v>
      </c>
    </row>
    <row r="4" spans="1:26" x14ac:dyDescent="0.25">
      <c r="A4">
        <v>3</v>
      </c>
      <c r="B4" s="2" t="str">
        <f t="shared" si="0"/>
        <v>O=C(C1=CC=C(N(=O)=O)C=C1)C=CC2=CC=CC=C2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30</v>
      </c>
      <c r="I4" t="s">
        <v>31</v>
      </c>
      <c r="J4">
        <v>0</v>
      </c>
      <c r="K4" t="s">
        <v>32</v>
      </c>
      <c r="L4" t="s">
        <v>52</v>
      </c>
      <c r="M4">
        <v>56</v>
      </c>
      <c r="N4" s="1">
        <v>48</v>
      </c>
      <c r="O4">
        <v>74</v>
      </c>
      <c r="P4">
        <v>26</v>
      </c>
      <c r="Q4" t="s">
        <v>35</v>
      </c>
      <c r="R4" t="s">
        <v>36</v>
      </c>
      <c r="S4" t="s">
        <v>37</v>
      </c>
      <c r="T4">
        <v>12</v>
      </c>
      <c r="U4">
        <v>20</v>
      </c>
      <c r="V4">
        <v>2.4E-2</v>
      </c>
      <c r="W4">
        <v>0.2</v>
      </c>
      <c r="X4" t="s">
        <v>38</v>
      </c>
      <c r="Y4" t="s">
        <v>39</v>
      </c>
      <c r="Z4" t="s">
        <v>40</v>
      </c>
    </row>
    <row r="5" spans="1:26" x14ac:dyDescent="0.25">
      <c r="A5">
        <v>4</v>
      </c>
      <c r="B5" s="2" t="str">
        <f t="shared" si="0"/>
        <v>ClC1=CC=C(C=CC(=O)C2=CC=CC=C2)C=C1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30</v>
      </c>
      <c r="I5" t="s">
        <v>31</v>
      </c>
      <c r="J5">
        <v>0</v>
      </c>
      <c r="K5" t="s">
        <v>32</v>
      </c>
      <c r="L5" t="s">
        <v>33</v>
      </c>
      <c r="M5" t="s">
        <v>58</v>
      </c>
      <c r="N5" s="1">
        <v>97</v>
      </c>
      <c r="O5">
        <v>98.5</v>
      </c>
      <c r="P5">
        <v>1.5</v>
      </c>
      <c r="Q5" t="s">
        <v>35</v>
      </c>
      <c r="R5" t="s">
        <v>36</v>
      </c>
      <c r="S5" t="s">
        <v>37</v>
      </c>
      <c r="T5">
        <v>12</v>
      </c>
      <c r="U5">
        <v>20</v>
      </c>
      <c r="V5">
        <v>2.4E-2</v>
      </c>
      <c r="W5">
        <v>0.2</v>
      </c>
      <c r="X5" t="s">
        <v>38</v>
      </c>
      <c r="Y5" t="s">
        <v>39</v>
      </c>
      <c r="Z5" t="s">
        <v>40</v>
      </c>
    </row>
    <row r="6" spans="1:26" x14ac:dyDescent="0.25">
      <c r="A6">
        <v>5</v>
      </c>
      <c r="B6" s="2" t="str">
        <f t="shared" si="0"/>
        <v>O=C(\C=C\C1=CC=CC=C1)C1=CC=CC=C1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30</v>
      </c>
      <c r="I6" t="s">
        <v>31</v>
      </c>
      <c r="J6">
        <v>0</v>
      </c>
      <c r="K6" t="s">
        <v>32</v>
      </c>
      <c r="L6" t="s">
        <v>33</v>
      </c>
      <c r="M6" t="s">
        <v>64</v>
      </c>
      <c r="N6" s="1">
        <v>97</v>
      </c>
      <c r="O6">
        <v>98.5</v>
      </c>
      <c r="P6">
        <v>1.5</v>
      </c>
      <c r="Q6" t="s">
        <v>35</v>
      </c>
      <c r="R6" t="s">
        <v>36</v>
      </c>
      <c r="S6" t="s">
        <v>37</v>
      </c>
      <c r="T6">
        <v>12</v>
      </c>
      <c r="U6">
        <v>20</v>
      </c>
      <c r="V6">
        <v>2.4E-2</v>
      </c>
      <c r="W6">
        <v>0.2</v>
      </c>
      <c r="X6" t="s">
        <v>38</v>
      </c>
      <c r="Y6" t="s">
        <v>39</v>
      </c>
      <c r="Z6" t="s">
        <v>40</v>
      </c>
    </row>
    <row r="7" spans="1:26" x14ac:dyDescent="0.25">
      <c r="A7">
        <v>6</v>
      </c>
      <c r="B7" s="2" t="str">
        <f t="shared" si="0"/>
        <v>O=C1C(CCC2=C1C=CC=C2)=CC3=CC=CC=C3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30</v>
      </c>
      <c r="I7" t="s">
        <v>31</v>
      </c>
      <c r="J7">
        <v>0</v>
      </c>
      <c r="K7" t="s">
        <v>32</v>
      </c>
      <c r="L7" t="s">
        <v>70</v>
      </c>
      <c r="M7">
        <v>22</v>
      </c>
      <c r="N7" s="1">
        <v>74</v>
      </c>
      <c r="O7">
        <v>87</v>
      </c>
      <c r="P7">
        <v>13</v>
      </c>
      <c r="Q7" t="s">
        <v>35</v>
      </c>
      <c r="R7" t="s">
        <v>36</v>
      </c>
      <c r="S7" t="s">
        <v>37</v>
      </c>
      <c r="T7">
        <v>12</v>
      </c>
      <c r="U7">
        <v>20</v>
      </c>
      <c r="V7">
        <v>2.4E-2</v>
      </c>
      <c r="W7">
        <v>0.2</v>
      </c>
      <c r="X7" t="s">
        <v>38</v>
      </c>
      <c r="Y7" t="s">
        <v>39</v>
      </c>
      <c r="Z7" t="s">
        <v>40</v>
      </c>
    </row>
    <row r="8" spans="1:26" x14ac:dyDescent="0.25">
      <c r="A8">
        <v>7</v>
      </c>
      <c r="B8" s="2" t="str">
        <f t="shared" si="0"/>
        <v>O=C(C1=CC=CC=C1)C=CC2=CC=C(N(=O)=O)C=C2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30</v>
      </c>
      <c r="I8" t="s">
        <v>31</v>
      </c>
      <c r="J8">
        <v>0</v>
      </c>
      <c r="K8" t="s">
        <v>32</v>
      </c>
      <c r="L8" t="s">
        <v>76</v>
      </c>
      <c r="M8">
        <v>80</v>
      </c>
      <c r="N8" s="1">
        <v>79</v>
      </c>
      <c r="O8">
        <v>89.5</v>
      </c>
      <c r="P8">
        <v>10.5</v>
      </c>
      <c r="Q8" t="s">
        <v>35</v>
      </c>
      <c r="R8" t="s">
        <v>36</v>
      </c>
      <c r="S8" t="s">
        <v>37</v>
      </c>
      <c r="T8">
        <v>12</v>
      </c>
      <c r="U8">
        <v>20</v>
      </c>
      <c r="V8">
        <v>2.4E-2</v>
      </c>
      <c r="W8">
        <v>0.2</v>
      </c>
      <c r="X8" t="s">
        <v>38</v>
      </c>
      <c r="Y8" t="s">
        <v>39</v>
      </c>
      <c r="Z8" t="s">
        <v>40</v>
      </c>
    </row>
    <row r="9" spans="1:26" x14ac:dyDescent="0.25">
      <c r="A9">
        <v>8</v>
      </c>
      <c r="B9" s="2" t="str">
        <f t="shared" si="0"/>
        <v>O=C(C1=CC=CC=C1)C=CC2=CC=CC(N(=O)=O)=C2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30</v>
      </c>
      <c r="I9" t="s">
        <v>31</v>
      </c>
      <c r="J9">
        <v>0</v>
      </c>
      <c r="K9" t="s">
        <v>32</v>
      </c>
      <c r="L9" t="s">
        <v>82</v>
      </c>
      <c r="M9">
        <v>95</v>
      </c>
      <c r="N9" s="1">
        <v>85</v>
      </c>
      <c r="O9">
        <v>92.5</v>
      </c>
      <c r="P9">
        <v>7.5</v>
      </c>
      <c r="Q9" t="s">
        <v>35</v>
      </c>
      <c r="R9" t="s">
        <v>36</v>
      </c>
      <c r="S9" t="s">
        <v>37</v>
      </c>
      <c r="T9">
        <v>12</v>
      </c>
      <c r="U9">
        <v>20</v>
      </c>
      <c r="V9">
        <v>2.4E-2</v>
      </c>
      <c r="W9">
        <v>0.2</v>
      </c>
      <c r="X9" t="s">
        <v>38</v>
      </c>
      <c r="Y9" t="s">
        <v>39</v>
      </c>
      <c r="Z9" t="s">
        <v>40</v>
      </c>
    </row>
    <row r="10" spans="1:26" x14ac:dyDescent="0.25">
      <c r="A10">
        <v>9</v>
      </c>
      <c r="B10" s="2" t="str">
        <f t="shared" si="0"/>
        <v>O=C(C1=CC=CC=C1)C=CC2=CC=CC=C2N(=O)=O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30</v>
      </c>
      <c r="I10" t="s">
        <v>31</v>
      </c>
      <c r="J10">
        <v>0</v>
      </c>
      <c r="K10" t="s">
        <v>32</v>
      </c>
      <c r="L10" t="s">
        <v>88</v>
      </c>
      <c r="M10">
        <v>14</v>
      </c>
      <c r="N10" s="1">
        <v>18</v>
      </c>
      <c r="O10">
        <v>59</v>
      </c>
      <c r="P10">
        <v>41</v>
      </c>
      <c r="Q10" t="s">
        <v>35</v>
      </c>
      <c r="R10" t="s">
        <v>36</v>
      </c>
      <c r="S10" t="s">
        <v>37</v>
      </c>
      <c r="T10">
        <v>12</v>
      </c>
      <c r="U10">
        <v>20</v>
      </c>
      <c r="V10">
        <v>2.4E-2</v>
      </c>
      <c r="W10">
        <v>0.2</v>
      </c>
      <c r="X10" t="s">
        <v>38</v>
      </c>
      <c r="Y10" t="s">
        <v>39</v>
      </c>
      <c r="Z10" t="s">
        <v>40</v>
      </c>
    </row>
    <row r="11" spans="1:26" x14ac:dyDescent="0.25">
      <c r="A11">
        <v>10</v>
      </c>
      <c r="B11" s="2" t="str">
        <f t="shared" si="0"/>
        <v>BrC1=CC=C(C=CC(=O)C2=CC=CC=C2)C=C1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30</v>
      </c>
      <c r="I11" t="s">
        <v>31</v>
      </c>
      <c r="J11">
        <v>0</v>
      </c>
      <c r="K11" t="s">
        <v>32</v>
      </c>
      <c r="L11" t="s">
        <v>33</v>
      </c>
      <c r="M11" t="s">
        <v>94</v>
      </c>
      <c r="N11" s="1">
        <v>95</v>
      </c>
      <c r="O11">
        <v>97.5</v>
      </c>
      <c r="P11">
        <v>2.5</v>
      </c>
      <c r="Q11" t="s">
        <v>35</v>
      </c>
      <c r="R11" t="s">
        <v>36</v>
      </c>
      <c r="S11" t="s">
        <v>37</v>
      </c>
      <c r="T11">
        <v>12</v>
      </c>
      <c r="U11">
        <v>20</v>
      </c>
      <c r="V11">
        <v>2.4E-2</v>
      </c>
      <c r="W11">
        <v>0.2</v>
      </c>
      <c r="X11" t="s">
        <v>38</v>
      </c>
      <c r="Y11" t="s">
        <v>39</v>
      </c>
      <c r="Z11" t="s">
        <v>40</v>
      </c>
    </row>
    <row r="12" spans="1:26" x14ac:dyDescent="0.25">
      <c r="A12">
        <v>11</v>
      </c>
      <c r="B12" s="2" t="str">
        <f t="shared" si="0"/>
        <v>CC1=CC(CCC1)=O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30</v>
      </c>
      <c r="I12" t="s">
        <v>31</v>
      </c>
      <c r="J12">
        <v>0</v>
      </c>
      <c r="K12" t="s">
        <v>32</v>
      </c>
      <c r="L12" t="s">
        <v>100</v>
      </c>
      <c r="M12">
        <v>33</v>
      </c>
      <c r="N12" s="1">
        <v>45</v>
      </c>
      <c r="O12">
        <v>72.5</v>
      </c>
      <c r="P12">
        <v>27.5</v>
      </c>
      <c r="Q12" t="s">
        <v>35</v>
      </c>
      <c r="R12" t="s">
        <v>36</v>
      </c>
      <c r="S12" t="s">
        <v>37</v>
      </c>
      <c r="T12">
        <v>12</v>
      </c>
      <c r="U12">
        <v>20</v>
      </c>
      <c r="V12">
        <v>2.4E-2</v>
      </c>
      <c r="W12">
        <v>0.2</v>
      </c>
      <c r="X12" t="s">
        <v>38</v>
      </c>
      <c r="Y12" t="s">
        <v>39</v>
      </c>
      <c r="Z12" t="s">
        <v>40</v>
      </c>
    </row>
    <row r="13" spans="1:26" x14ac:dyDescent="0.25">
      <c r="A13">
        <v>12</v>
      </c>
      <c r="B13" s="2" t="str">
        <f t="shared" si="0"/>
        <v>CC1=CC=C(C=C1)C(=O)C=CC1=CC=CC=C1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30</v>
      </c>
      <c r="I13" t="s">
        <v>31</v>
      </c>
      <c r="J13">
        <v>0</v>
      </c>
      <c r="K13" t="s">
        <v>32</v>
      </c>
      <c r="L13" t="s">
        <v>33</v>
      </c>
      <c r="M13" t="s">
        <v>106</v>
      </c>
      <c r="N13" s="1">
        <v>92</v>
      </c>
      <c r="O13">
        <v>96</v>
      </c>
      <c r="P13">
        <v>4</v>
      </c>
      <c r="Q13" t="s">
        <v>35</v>
      </c>
      <c r="R13" t="s">
        <v>36</v>
      </c>
      <c r="S13" t="s">
        <v>37</v>
      </c>
      <c r="T13">
        <v>12</v>
      </c>
      <c r="U13">
        <v>20</v>
      </c>
      <c r="V13">
        <v>2.4E-2</v>
      </c>
      <c r="W13">
        <v>0.2</v>
      </c>
      <c r="X13" t="s">
        <v>38</v>
      </c>
      <c r="Y13" t="s">
        <v>39</v>
      </c>
      <c r="Z13" t="s">
        <v>40</v>
      </c>
    </row>
    <row r="14" spans="1:26" x14ac:dyDescent="0.25">
      <c r="A14">
        <v>13</v>
      </c>
      <c r="B14" s="2" t="str">
        <f t="shared" si="0"/>
        <v>O=C1CCCCC=C1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30</v>
      </c>
      <c r="I14" t="s">
        <v>31</v>
      </c>
      <c r="J14">
        <v>0</v>
      </c>
      <c r="K14" t="s">
        <v>32</v>
      </c>
      <c r="L14" t="s">
        <v>112</v>
      </c>
      <c r="M14">
        <v>53</v>
      </c>
      <c r="N14" s="1">
        <v>35</v>
      </c>
      <c r="O14">
        <v>67.5</v>
      </c>
      <c r="P14">
        <v>32.5</v>
      </c>
      <c r="Q14" t="s">
        <v>35</v>
      </c>
      <c r="R14" t="s">
        <v>36</v>
      </c>
      <c r="S14" t="s">
        <v>37</v>
      </c>
      <c r="T14">
        <v>12</v>
      </c>
      <c r="U14">
        <v>20</v>
      </c>
      <c r="V14">
        <v>2.4E-2</v>
      </c>
      <c r="W14">
        <v>0.2</v>
      </c>
      <c r="X14" t="s">
        <v>38</v>
      </c>
      <c r="Y14" t="s">
        <v>39</v>
      </c>
      <c r="Z14" t="s">
        <v>40</v>
      </c>
    </row>
    <row r="15" spans="1:26" x14ac:dyDescent="0.25">
      <c r="A15">
        <v>14</v>
      </c>
      <c r="B15" s="2" t="str">
        <f t="shared" si="0"/>
        <v>O=C(C=CC1=CC2=CC=CC=C2C=C1)C1=CC=CC=C1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30</v>
      </c>
      <c r="I15" t="s">
        <v>31</v>
      </c>
      <c r="J15">
        <v>0</v>
      </c>
      <c r="K15" t="s">
        <v>32</v>
      </c>
      <c r="L15" t="s">
        <v>33</v>
      </c>
      <c r="M15" t="s">
        <v>118</v>
      </c>
      <c r="N15" s="1">
        <v>96</v>
      </c>
      <c r="O15">
        <v>98</v>
      </c>
      <c r="P15">
        <v>2</v>
      </c>
      <c r="Q15" t="s">
        <v>35</v>
      </c>
      <c r="R15" t="s">
        <v>36</v>
      </c>
      <c r="S15" t="s">
        <v>37</v>
      </c>
      <c r="T15">
        <v>12</v>
      </c>
      <c r="U15">
        <v>20</v>
      </c>
      <c r="V15">
        <v>2.4E-2</v>
      </c>
      <c r="W15">
        <v>0.2</v>
      </c>
      <c r="X15" t="s">
        <v>38</v>
      </c>
      <c r="Y15" t="s">
        <v>39</v>
      </c>
      <c r="Z15" t="s">
        <v>40</v>
      </c>
    </row>
    <row r="16" spans="1:26" x14ac:dyDescent="0.25">
      <c r="A16">
        <v>15</v>
      </c>
      <c r="B16" s="2" t="str">
        <f t="shared" si="0"/>
        <v>O=C(C1=CC=CC=C1)C=CC2=C3C=CC=CC3=CC=C2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30</v>
      </c>
      <c r="I16" t="s">
        <v>31</v>
      </c>
      <c r="J16">
        <v>0</v>
      </c>
      <c r="K16" t="s">
        <v>32</v>
      </c>
      <c r="L16" t="s">
        <v>124</v>
      </c>
      <c r="M16">
        <v>38</v>
      </c>
      <c r="N16" s="1">
        <v>52</v>
      </c>
      <c r="O16">
        <v>76</v>
      </c>
      <c r="P16">
        <v>24</v>
      </c>
      <c r="Q16" t="s">
        <v>35</v>
      </c>
      <c r="R16" t="s">
        <v>36</v>
      </c>
      <c r="S16" t="s">
        <v>37</v>
      </c>
      <c r="T16">
        <v>12</v>
      </c>
      <c r="U16">
        <v>20</v>
      </c>
      <c r="V16">
        <v>2.4E-2</v>
      </c>
      <c r="W16">
        <v>0.2</v>
      </c>
      <c r="X16" t="s">
        <v>38</v>
      </c>
      <c r="Y16" t="s">
        <v>39</v>
      </c>
      <c r="Z16" t="s">
        <v>40</v>
      </c>
    </row>
    <row r="17" spans="1:26" x14ac:dyDescent="0.25">
      <c r="A17">
        <v>16</v>
      </c>
      <c r="B17" s="2" t="str">
        <f t="shared" si="0"/>
        <v>FC1=CC=C(C=C1)C(=O)C=CC1=CC=CC=C1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30</v>
      </c>
      <c r="I17" t="s">
        <v>31</v>
      </c>
      <c r="J17">
        <v>0</v>
      </c>
      <c r="K17" t="s">
        <v>32</v>
      </c>
      <c r="L17" t="s">
        <v>33</v>
      </c>
      <c r="M17" t="s">
        <v>64</v>
      </c>
      <c r="N17" s="1">
        <v>92</v>
      </c>
      <c r="O17">
        <v>96</v>
      </c>
      <c r="P17">
        <v>4</v>
      </c>
      <c r="Q17" t="s">
        <v>35</v>
      </c>
      <c r="R17" t="s">
        <v>36</v>
      </c>
      <c r="S17" t="s">
        <v>37</v>
      </c>
      <c r="T17">
        <v>12</v>
      </c>
      <c r="U17">
        <v>20</v>
      </c>
      <c r="V17">
        <v>2.4E-2</v>
      </c>
      <c r="W17">
        <v>0.2</v>
      </c>
      <c r="X17" t="s">
        <v>38</v>
      </c>
      <c r="Y17" t="s">
        <v>39</v>
      </c>
      <c r="Z17" t="s">
        <v>40</v>
      </c>
    </row>
    <row r="18" spans="1:26" x14ac:dyDescent="0.25">
      <c r="A18">
        <v>17</v>
      </c>
      <c r="B18" s="2" t="str">
        <f t="shared" si="0"/>
        <v>O=C1/C(C(C2=CC=CC=C12)=O)=C\C3=CC=CC=C3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30</v>
      </c>
      <c r="I18" t="s">
        <v>31</v>
      </c>
      <c r="J18">
        <v>0</v>
      </c>
      <c r="K18" t="s">
        <v>32</v>
      </c>
      <c r="L18" t="s">
        <v>135</v>
      </c>
      <c r="M18">
        <v>87</v>
      </c>
      <c r="N18" s="1">
        <v>53</v>
      </c>
      <c r="O18">
        <v>76.5</v>
      </c>
      <c r="P18">
        <v>23.5</v>
      </c>
      <c r="Q18" t="s">
        <v>35</v>
      </c>
      <c r="R18" t="s">
        <v>36</v>
      </c>
      <c r="S18" t="s">
        <v>37</v>
      </c>
      <c r="T18">
        <v>12</v>
      </c>
      <c r="U18">
        <v>20</v>
      </c>
      <c r="V18">
        <v>2.4E-2</v>
      </c>
      <c r="W18">
        <v>0.2</v>
      </c>
      <c r="X18" t="s">
        <v>38</v>
      </c>
      <c r="Y18" t="s">
        <v>39</v>
      </c>
      <c r="Z18" t="s">
        <v>40</v>
      </c>
    </row>
    <row r="19" spans="1:26" x14ac:dyDescent="0.25">
      <c r="A19">
        <v>18</v>
      </c>
      <c r="B19" s="2" t="str">
        <f t="shared" si="0"/>
        <v>O=C(C=CC1=CC=CC=C1)C1=CC=CO1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30</v>
      </c>
      <c r="I19" t="s">
        <v>31</v>
      </c>
      <c r="J19">
        <v>0</v>
      </c>
      <c r="K19" t="s">
        <v>32</v>
      </c>
      <c r="L19" t="s">
        <v>33</v>
      </c>
      <c r="M19" t="s">
        <v>141</v>
      </c>
      <c r="N19" s="1">
        <v>93</v>
      </c>
      <c r="O19">
        <v>96.5</v>
      </c>
      <c r="P19">
        <v>3.5</v>
      </c>
      <c r="Q19" t="s">
        <v>35</v>
      </c>
      <c r="R19" t="s">
        <v>36</v>
      </c>
      <c r="S19" t="s">
        <v>37</v>
      </c>
      <c r="T19">
        <v>12</v>
      </c>
      <c r="U19">
        <v>20</v>
      </c>
      <c r="V19">
        <v>2.4E-2</v>
      </c>
      <c r="W19">
        <v>0.2</v>
      </c>
      <c r="X19" t="s">
        <v>38</v>
      </c>
      <c r="Y19" t="s">
        <v>39</v>
      </c>
      <c r="Z19" t="s">
        <v>40</v>
      </c>
    </row>
    <row r="20" spans="1:26" x14ac:dyDescent="0.25">
      <c r="A20">
        <v>19</v>
      </c>
      <c r="B20" s="2" t="str">
        <f t="shared" si="0"/>
        <v>CC(C)C(=O)C=CC1=CC=CC=C1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30</v>
      </c>
      <c r="I20" t="s">
        <v>31</v>
      </c>
      <c r="J20">
        <v>0</v>
      </c>
      <c r="K20" t="s">
        <v>32</v>
      </c>
      <c r="L20" t="s">
        <v>33</v>
      </c>
      <c r="M20" t="s">
        <v>147</v>
      </c>
      <c r="N20" s="1">
        <v>95</v>
      </c>
      <c r="O20">
        <v>97.5</v>
      </c>
      <c r="P20">
        <v>2.5</v>
      </c>
      <c r="Q20" t="s">
        <v>35</v>
      </c>
      <c r="R20" t="s">
        <v>36</v>
      </c>
      <c r="S20" t="s">
        <v>37</v>
      </c>
      <c r="T20">
        <v>12</v>
      </c>
      <c r="U20">
        <v>20</v>
      </c>
      <c r="V20">
        <v>2.4E-2</v>
      </c>
      <c r="W20">
        <v>0.2</v>
      </c>
      <c r="X20" t="s">
        <v>38</v>
      </c>
      <c r="Y20" t="s">
        <v>39</v>
      </c>
      <c r="Z20" t="s">
        <v>40</v>
      </c>
    </row>
    <row r="21" spans="1:26" x14ac:dyDescent="0.25">
      <c r="A21">
        <v>20</v>
      </c>
      <c r="B21" s="2" t="str">
        <f t="shared" si="0"/>
        <v>O=C(C=CC1=CC2=CC=CC=C2S1)C1=CC=CC=C1</v>
      </c>
      <c r="C21" t="s">
        <v>148</v>
      </c>
      <c r="D21" t="s">
        <v>149</v>
      </c>
      <c r="E21" t="s">
        <v>150</v>
      </c>
      <c r="F21" t="s">
        <v>151</v>
      </c>
      <c r="G21" t="s">
        <v>152</v>
      </c>
      <c r="H21" t="s">
        <v>30</v>
      </c>
      <c r="I21" t="s">
        <v>31</v>
      </c>
      <c r="J21">
        <v>0</v>
      </c>
      <c r="K21" t="s">
        <v>32</v>
      </c>
      <c r="L21" t="s">
        <v>33</v>
      </c>
      <c r="M21" t="s">
        <v>118</v>
      </c>
      <c r="N21" s="1">
        <v>97</v>
      </c>
      <c r="O21">
        <v>98.5</v>
      </c>
      <c r="P21">
        <v>1.5</v>
      </c>
      <c r="Q21" t="s">
        <v>35</v>
      </c>
      <c r="R21" t="s">
        <v>36</v>
      </c>
      <c r="S21" t="s">
        <v>37</v>
      </c>
      <c r="T21">
        <v>12</v>
      </c>
      <c r="U21">
        <v>20</v>
      </c>
      <c r="V21">
        <v>2.4E-2</v>
      </c>
      <c r="W21">
        <v>0.2</v>
      </c>
      <c r="X21" t="s">
        <v>38</v>
      </c>
      <c r="Y21" t="s">
        <v>39</v>
      </c>
      <c r="Z21" t="s">
        <v>40</v>
      </c>
    </row>
    <row r="22" spans="1:26" x14ac:dyDescent="0.25">
      <c r="A22">
        <v>21</v>
      </c>
      <c r="B22" s="2" t="str">
        <f t="shared" si="0"/>
        <v>O=C(C=CC1=CC=CC=C1)C1=CC=CS1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30</v>
      </c>
      <c r="I22" t="s">
        <v>31</v>
      </c>
      <c r="J22">
        <v>0</v>
      </c>
      <c r="K22" t="s">
        <v>32</v>
      </c>
      <c r="L22" t="s">
        <v>33</v>
      </c>
      <c r="M22" t="s">
        <v>158</v>
      </c>
      <c r="N22" s="1">
        <v>96</v>
      </c>
      <c r="O22">
        <v>98</v>
      </c>
      <c r="P22">
        <v>2</v>
      </c>
      <c r="Q22" t="s">
        <v>35</v>
      </c>
      <c r="R22" t="s">
        <v>36</v>
      </c>
      <c r="S22" t="s">
        <v>37</v>
      </c>
      <c r="T22">
        <v>12</v>
      </c>
      <c r="U22">
        <v>20</v>
      </c>
      <c r="V22">
        <v>2.4E-2</v>
      </c>
      <c r="W22">
        <v>0.2</v>
      </c>
      <c r="X22" t="s">
        <v>38</v>
      </c>
      <c r="Y22" t="s">
        <v>39</v>
      </c>
      <c r="Z22" t="s">
        <v>40</v>
      </c>
    </row>
    <row r="23" spans="1:26" x14ac:dyDescent="0.25">
      <c r="A23">
        <v>22</v>
      </c>
      <c r="B23" s="2" t="str">
        <f t="shared" si="0"/>
        <v>O=C(C=CC1=CC=CC=C1)C1=CC2=C(O1)C=CC=C2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30</v>
      </c>
      <c r="I23" t="s">
        <v>31</v>
      </c>
      <c r="J23">
        <v>0</v>
      </c>
      <c r="K23" t="s">
        <v>32</v>
      </c>
      <c r="L23" t="s">
        <v>33</v>
      </c>
      <c r="M23" t="s">
        <v>164</v>
      </c>
      <c r="N23" s="1">
        <v>98</v>
      </c>
      <c r="O23">
        <v>99</v>
      </c>
      <c r="P23">
        <v>1</v>
      </c>
      <c r="Q23" t="s">
        <v>35</v>
      </c>
      <c r="R23" t="s">
        <v>36</v>
      </c>
      <c r="S23" t="s">
        <v>37</v>
      </c>
      <c r="T23">
        <v>12</v>
      </c>
      <c r="U23">
        <v>20</v>
      </c>
      <c r="V23">
        <v>2.4E-2</v>
      </c>
      <c r="W23">
        <v>0.2</v>
      </c>
      <c r="X23" t="s">
        <v>38</v>
      </c>
      <c r="Y23" t="s">
        <v>39</v>
      </c>
      <c r="Z23" t="s">
        <v>40</v>
      </c>
    </row>
    <row r="24" spans="1:26" x14ac:dyDescent="0.25">
      <c r="A24">
        <v>23</v>
      </c>
      <c r="B24" s="2" t="str">
        <f t="shared" si="0"/>
        <v>O=C(C=CC1=CC=CC=C1)C1=CC2=C(S1)C=CC=C2</v>
      </c>
      <c r="C24" t="s">
        <v>165</v>
      </c>
      <c r="D24" t="s">
        <v>166</v>
      </c>
      <c r="E24" t="s">
        <v>150</v>
      </c>
      <c r="F24" t="s">
        <v>167</v>
      </c>
      <c r="G24" t="s">
        <v>168</v>
      </c>
      <c r="H24" t="s">
        <v>30</v>
      </c>
      <c r="I24" t="s">
        <v>31</v>
      </c>
      <c r="J24">
        <v>0</v>
      </c>
      <c r="K24" t="s">
        <v>32</v>
      </c>
      <c r="L24" t="s">
        <v>33</v>
      </c>
      <c r="M24" t="s">
        <v>169</v>
      </c>
      <c r="N24" s="1">
        <v>98</v>
      </c>
      <c r="O24">
        <v>99</v>
      </c>
      <c r="P24">
        <v>1</v>
      </c>
      <c r="Q24" t="s">
        <v>35</v>
      </c>
      <c r="R24" t="s">
        <v>36</v>
      </c>
      <c r="S24" t="s">
        <v>37</v>
      </c>
      <c r="T24">
        <v>12</v>
      </c>
      <c r="U24">
        <v>20</v>
      </c>
      <c r="V24">
        <v>2.4E-2</v>
      </c>
      <c r="W24">
        <v>0.2</v>
      </c>
      <c r="X24" t="s">
        <v>38</v>
      </c>
      <c r="Y24" t="s">
        <v>39</v>
      </c>
      <c r="Z24" t="s">
        <v>40</v>
      </c>
    </row>
    <row r="25" spans="1:26" x14ac:dyDescent="0.25">
      <c r="A25">
        <v>24</v>
      </c>
      <c r="B25" s="2" t="str">
        <f t="shared" si="0"/>
        <v>O=C(C=CC1=CC=C(C=C1)C#N)C1=CC=CC=C1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30</v>
      </c>
      <c r="I25" t="s">
        <v>31</v>
      </c>
      <c r="J25">
        <v>0</v>
      </c>
      <c r="K25" t="s">
        <v>32</v>
      </c>
      <c r="L25" t="s">
        <v>33</v>
      </c>
      <c r="M25" t="s">
        <v>175</v>
      </c>
      <c r="N25" s="1">
        <v>94</v>
      </c>
      <c r="O25">
        <v>97</v>
      </c>
      <c r="P25">
        <v>3</v>
      </c>
      <c r="Q25" t="s">
        <v>35</v>
      </c>
      <c r="R25" t="s">
        <v>36</v>
      </c>
      <c r="S25" t="s">
        <v>37</v>
      </c>
      <c r="T25">
        <v>12</v>
      </c>
      <c r="U25">
        <v>20</v>
      </c>
      <c r="V25">
        <v>2.4E-2</v>
      </c>
      <c r="W25">
        <v>0.2</v>
      </c>
      <c r="X25" t="s">
        <v>38</v>
      </c>
      <c r="Y25" t="s">
        <v>39</v>
      </c>
      <c r="Z25" t="s">
        <v>40</v>
      </c>
    </row>
    <row r="26" spans="1:26" x14ac:dyDescent="0.25">
      <c r="A26">
        <v>25</v>
      </c>
      <c r="B26" s="2" t="str">
        <f t="shared" si="0"/>
        <v>O=C(C=CC1=CC=CC=C1)C1=CC2=C(C=CC=C2)C=C1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30</v>
      </c>
      <c r="I26" t="s">
        <v>31</v>
      </c>
      <c r="J26">
        <v>0</v>
      </c>
      <c r="K26" t="s">
        <v>32</v>
      </c>
      <c r="L26" t="s">
        <v>33</v>
      </c>
      <c r="M26" t="s">
        <v>181</v>
      </c>
      <c r="N26" s="1">
        <v>91</v>
      </c>
      <c r="O26">
        <v>95.5</v>
      </c>
      <c r="P26">
        <v>4.5</v>
      </c>
      <c r="Q26" t="s">
        <v>35</v>
      </c>
      <c r="R26" t="s">
        <v>36</v>
      </c>
      <c r="S26" t="s">
        <v>37</v>
      </c>
      <c r="T26">
        <v>12</v>
      </c>
      <c r="U26">
        <v>20</v>
      </c>
      <c r="V26">
        <v>2.4E-2</v>
      </c>
      <c r="W26">
        <v>0.2</v>
      </c>
      <c r="X26" t="s">
        <v>38</v>
      </c>
      <c r="Y26" t="s">
        <v>39</v>
      </c>
      <c r="Z26" t="s">
        <v>40</v>
      </c>
    </row>
    <row r="27" spans="1:26" x14ac:dyDescent="0.25">
      <c r="A27">
        <v>26</v>
      </c>
      <c r="B27" s="2" t="str">
        <f t="shared" si="0"/>
        <v>FC1=CC=C(C=C1)C(=O)C=CC1=CC=C(Cl)C=C1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30</v>
      </c>
      <c r="I27" t="s">
        <v>31</v>
      </c>
      <c r="J27">
        <v>0</v>
      </c>
      <c r="K27" t="s">
        <v>32</v>
      </c>
      <c r="L27" t="s">
        <v>33</v>
      </c>
      <c r="M27" t="s">
        <v>187</v>
      </c>
      <c r="N27" s="1">
        <v>94</v>
      </c>
      <c r="O27">
        <v>97</v>
      </c>
      <c r="P27">
        <v>3</v>
      </c>
      <c r="Q27" t="s">
        <v>35</v>
      </c>
      <c r="R27" t="s">
        <v>36</v>
      </c>
      <c r="S27" t="s">
        <v>37</v>
      </c>
      <c r="T27">
        <v>12</v>
      </c>
      <c r="U27">
        <v>20</v>
      </c>
      <c r="V27">
        <v>2.4E-2</v>
      </c>
      <c r="W27">
        <v>0.2</v>
      </c>
      <c r="X27" t="s">
        <v>38</v>
      </c>
      <c r="Y27" t="s">
        <v>39</v>
      </c>
      <c r="Z27" t="s">
        <v>40</v>
      </c>
    </row>
    <row r="28" spans="1:26" x14ac:dyDescent="0.25">
      <c r="A28">
        <v>27</v>
      </c>
      <c r="B28" s="2" t="str">
        <f t="shared" si="0"/>
        <v>O=C(\C=C\C=C\C1=CC=CC=C1)C1=CC=CC=C1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30</v>
      </c>
      <c r="I28" t="s">
        <v>31</v>
      </c>
      <c r="J28">
        <v>0</v>
      </c>
      <c r="K28" t="s">
        <v>32</v>
      </c>
      <c r="L28" t="s">
        <v>33</v>
      </c>
      <c r="M28" t="s">
        <v>106</v>
      </c>
      <c r="N28" s="1">
        <v>99</v>
      </c>
      <c r="O28">
        <v>99.5</v>
      </c>
      <c r="P28">
        <v>0.5</v>
      </c>
      <c r="Q28" t="s">
        <v>35</v>
      </c>
      <c r="R28" t="s">
        <v>36</v>
      </c>
      <c r="S28" t="s">
        <v>37</v>
      </c>
      <c r="T28">
        <v>12</v>
      </c>
      <c r="U28">
        <v>20</v>
      </c>
      <c r="V28">
        <v>2.4E-2</v>
      </c>
      <c r="W28">
        <v>0.2</v>
      </c>
      <c r="X28" t="s">
        <v>38</v>
      </c>
      <c r="Y28" t="s">
        <v>39</v>
      </c>
      <c r="Z28" t="s">
        <v>40</v>
      </c>
    </row>
    <row r="29" spans="1:26" x14ac:dyDescent="0.25">
      <c r="A29">
        <v>28</v>
      </c>
      <c r="B29" s="2" t="str">
        <f t="shared" si="0"/>
        <v>C\C=C\C=C\C(=O)C1=CC=CC=C1</v>
      </c>
      <c r="C29" t="s">
        <v>193</v>
      </c>
      <c r="D29" t="s">
        <v>194</v>
      </c>
      <c r="E29" t="s">
        <v>195</v>
      </c>
      <c r="F29" t="s">
        <v>196</v>
      </c>
      <c r="G29" t="s">
        <v>197</v>
      </c>
      <c r="H29" t="s">
        <v>30</v>
      </c>
      <c r="I29" t="s">
        <v>31</v>
      </c>
      <c r="J29">
        <v>0</v>
      </c>
      <c r="K29" t="s">
        <v>32</v>
      </c>
      <c r="L29" t="s">
        <v>33</v>
      </c>
      <c r="M29" t="s">
        <v>198</v>
      </c>
      <c r="N29" s="1">
        <v>98</v>
      </c>
      <c r="O29">
        <v>99</v>
      </c>
      <c r="P29">
        <v>1</v>
      </c>
      <c r="Q29" t="s">
        <v>35</v>
      </c>
      <c r="R29" t="s">
        <v>36</v>
      </c>
      <c r="S29" t="s">
        <v>37</v>
      </c>
      <c r="T29">
        <v>12</v>
      </c>
      <c r="U29">
        <v>20</v>
      </c>
      <c r="V29">
        <v>2.4E-2</v>
      </c>
      <c r="W29">
        <v>0.2</v>
      </c>
      <c r="X29" t="s">
        <v>38</v>
      </c>
      <c r="Y29" t="s">
        <v>39</v>
      </c>
      <c r="Z29" t="s">
        <v>40</v>
      </c>
    </row>
    <row r="30" spans="1:26" x14ac:dyDescent="0.25">
      <c r="A30">
        <v>29</v>
      </c>
      <c r="B30" s="2" t="str">
        <f t="shared" si="0"/>
        <v>CC1=CC=CC=C1C(=O)C=CC1=CC=CC=C1</v>
      </c>
      <c r="C30" t="s">
        <v>199</v>
      </c>
      <c r="D30" t="s">
        <v>200</v>
      </c>
      <c r="E30" t="s">
        <v>201</v>
      </c>
      <c r="F30" t="s">
        <v>202</v>
      </c>
      <c r="G30" t="s">
        <v>203</v>
      </c>
      <c r="H30" t="s">
        <v>30</v>
      </c>
      <c r="I30" t="s">
        <v>31</v>
      </c>
      <c r="J30">
        <v>0</v>
      </c>
      <c r="K30" t="s">
        <v>32</v>
      </c>
      <c r="L30" t="s">
        <v>33</v>
      </c>
      <c r="M30" t="s">
        <v>204</v>
      </c>
      <c r="N30" s="1">
        <v>93</v>
      </c>
      <c r="O30">
        <v>96.5</v>
      </c>
      <c r="P30">
        <v>3.5</v>
      </c>
      <c r="Q30" t="s">
        <v>35</v>
      </c>
      <c r="R30" t="s">
        <v>36</v>
      </c>
      <c r="S30" t="s">
        <v>37</v>
      </c>
      <c r="T30">
        <v>12</v>
      </c>
      <c r="U30">
        <v>20</v>
      </c>
      <c r="V30">
        <v>2.4E-2</v>
      </c>
      <c r="W30">
        <v>0.2</v>
      </c>
      <c r="X30" t="s">
        <v>38</v>
      </c>
      <c r="Y30" t="s">
        <v>39</v>
      </c>
      <c r="Z30" t="s">
        <v>40</v>
      </c>
    </row>
    <row r="31" spans="1:26" x14ac:dyDescent="0.25">
      <c r="A31">
        <v>30</v>
      </c>
      <c r="B31" s="2" t="str">
        <f t="shared" si="0"/>
        <v>FC1=CC=C(C=CC(=O)C2=CC=C(F)C=C2)C=C1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  <c r="H31" t="s">
        <v>30</v>
      </c>
      <c r="I31" t="s">
        <v>31</v>
      </c>
      <c r="J31">
        <v>0</v>
      </c>
      <c r="K31" t="s">
        <v>32</v>
      </c>
      <c r="L31" t="s">
        <v>33</v>
      </c>
      <c r="M31" t="s">
        <v>106</v>
      </c>
      <c r="N31" s="1">
        <v>91</v>
      </c>
      <c r="O31">
        <v>95.5</v>
      </c>
      <c r="P31">
        <v>4.5</v>
      </c>
      <c r="Q31" t="s">
        <v>35</v>
      </c>
      <c r="R31" t="s">
        <v>36</v>
      </c>
      <c r="S31" t="s">
        <v>37</v>
      </c>
      <c r="T31">
        <v>12</v>
      </c>
      <c r="U31">
        <v>20</v>
      </c>
      <c r="V31">
        <v>2.4E-2</v>
      </c>
      <c r="W31">
        <v>0.2</v>
      </c>
      <c r="X31" t="s">
        <v>38</v>
      </c>
      <c r="Y31" t="s">
        <v>39</v>
      </c>
      <c r="Z31" t="s">
        <v>40</v>
      </c>
    </row>
    <row r="32" spans="1:26" x14ac:dyDescent="0.25">
      <c r="A32">
        <v>31</v>
      </c>
      <c r="B32" s="2" t="str">
        <f t="shared" si="0"/>
        <v>FC(F)(C1=CC=C(C=C1)C=CC(C2=CC=CC=C2)=O)F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30</v>
      </c>
      <c r="I32" t="s">
        <v>31</v>
      </c>
      <c r="J32">
        <v>0</v>
      </c>
      <c r="K32" t="s">
        <v>32</v>
      </c>
      <c r="L32" t="s">
        <v>215</v>
      </c>
      <c r="M32">
        <v>85</v>
      </c>
      <c r="N32" s="1">
        <v>85</v>
      </c>
      <c r="O32">
        <v>92.5</v>
      </c>
      <c r="P32">
        <v>7.5</v>
      </c>
      <c r="Q32" t="s">
        <v>35</v>
      </c>
      <c r="R32" t="s">
        <v>36</v>
      </c>
      <c r="S32" t="s">
        <v>37</v>
      </c>
      <c r="T32">
        <v>12</v>
      </c>
      <c r="U32">
        <v>20</v>
      </c>
      <c r="V32">
        <v>2.4E-2</v>
      </c>
      <c r="W32">
        <v>0.2</v>
      </c>
      <c r="X32" t="s">
        <v>38</v>
      </c>
      <c r="Y32" t="s">
        <v>39</v>
      </c>
      <c r="Z32" t="s">
        <v>40</v>
      </c>
    </row>
    <row r="33" spans="1:26" x14ac:dyDescent="0.25">
      <c r="A33">
        <v>32</v>
      </c>
      <c r="B33" s="2" t="str">
        <f t="shared" si="0"/>
        <v>FC1=CC=C(C=CC(=O)C2=CC=C(C=C2)N(=O)=O)C=C1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30</v>
      </c>
      <c r="I33" t="s">
        <v>31</v>
      </c>
      <c r="J33">
        <v>0</v>
      </c>
      <c r="K33" t="s">
        <v>32</v>
      </c>
      <c r="L33" t="s">
        <v>33</v>
      </c>
      <c r="M33" t="s">
        <v>221</v>
      </c>
      <c r="N33" s="1">
        <v>90</v>
      </c>
      <c r="O33">
        <v>95</v>
      </c>
      <c r="P33">
        <v>5</v>
      </c>
      <c r="Q33" t="s">
        <v>35</v>
      </c>
      <c r="R33" t="s">
        <v>36</v>
      </c>
      <c r="S33" t="s">
        <v>37</v>
      </c>
      <c r="T33">
        <v>12</v>
      </c>
      <c r="U33">
        <v>20</v>
      </c>
      <c r="V33">
        <v>2.4E-2</v>
      </c>
      <c r="W33">
        <v>0.2</v>
      </c>
      <c r="X33" t="s">
        <v>38</v>
      </c>
      <c r="Y33" t="s">
        <v>39</v>
      </c>
      <c r="Z33" t="s">
        <v>40</v>
      </c>
    </row>
    <row r="34" spans="1:26" x14ac:dyDescent="0.25">
      <c r="A34">
        <v>33</v>
      </c>
      <c r="B34" s="2" t="str">
        <f t="shared" si="0"/>
        <v>COC1=CC(C=CC(C2=CC=CC=C2)=O)=CC=C1</v>
      </c>
      <c r="C34" t="s">
        <v>222</v>
      </c>
      <c r="D34" t="s">
        <v>223</v>
      </c>
      <c r="E34" t="s">
        <v>224</v>
      </c>
      <c r="F34" t="s">
        <v>225</v>
      </c>
      <c r="G34" t="s">
        <v>226</v>
      </c>
      <c r="H34" t="s">
        <v>30</v>
      </c>
      <c r="I34" t="s">
        <v>31</v>
      </c>
      <c r="J34">
        <v>0</v>
      </c>
      <c r="K34" t="s">
        <v>32</v>
      </c>
      <c r="L34" t="s">
        <v>227</v>
      </c>
      <c r="M34">
        <v>68</v>
      </c>
      <c r="N34" s="1">
        <v>78</v>
      </c>
      <c r="O34">
        <v>89</v>
      </c>
      <c r="P34">
        <v>11</v>
      </c>
      <c r="Q34" t="s">
        <v>35</v>
      </c>
      <c r="R34" t="s">
        <v>36</v>
      </c>
      <c r="S34" t="s">
        <v>37</v>
      </c>
      <c r="T34">
        <v>12</v>
      </c>
      <c r="U34">
        <v>20</v>
      </c>
      <c r="V34">
        <v>2.4E-2</v>
      </c>
      <c r="W34">
        <v>0.2</v>
      </c>
      <c r="X34" t="s">
        <v>38</v>
      </c>
      <c r="Y34" t="s">
        <v>39</v>
      </c>
      <c r="Z34" t="s">
        <v>40</v>
      </c>
    </row>
    <row r="35" spans="1:26" x14ac:dyDescent="0.25">
      <c r="A35">
        <v>34</v>
      </c>
      <c r="B35" s="2" t="str">
        <f t="shared" si="0"/>
        <v>CN1C=CC=C1C(=O)C=CC1=CC=CC=C1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 t="s">
        <v>30</v>
      </c>
      <c r="I35" t="s">
        <v>31</v>
      </c>
      <c r="J35">
        <v>0</v>
      </c>
      <c r="K35" t="s">
        <v>32</v>
      </c>
      <c r="L35" t="s">
        <v>33</v>
      </c>
      <c r="M35" t="s">
        <v>147</v>
      </c>
      <c r="N35" s="1">
        <v>94</v>
      </c>
      <c r="O35">
        <v>97</v>
      </c>
      <c r="P35">
        <v>3</v>
      </c>
      <c r="Q35" t="s">
        <v>35</v>
      </c>
      <c r="R35" t="s">
        <v>36</v>
      </c>
      <c r="S35" t="s">
        <v>37</v>
      </c>
      <c r="T35">
        <v>12</v>
      </c>
      <c r="U35">
        <v>20</v>
      </c>
      <c r="V35">
        <v>2.4E-2</v>
      </c>
      <c r="W35">
        <v>0.2</v>
      </c>
      <c r="X35" t="s">
        <v>38</v>
      </c>
      <c r="Y35" t="s">
        <v>39</v>
      </c>
      <c r="Z35" t="s">
        <v>40</v>
      </c>
    </row>
    <row r="36" spans="1:26" x14ac:dyDescent="0.25">
      <c r="A36">
        <v>35</v>
      </c>
      <c r="B36" s="2" t="str">
        <f t="shared" si="0"/>
        <v>O=C(C1=CC=CC2=C1C=CC=C2)C=CC3=CC=CC=C3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30</v>
      </c>
      <c r="I36" t="s">
        <v>31</v>
      </c>
      <c r="J36">
        <v>0</v>
      </c>
      <c r="K36" t="s">
        <v>32</v>
      </c>
      <c r="L36" t="s">
        <v>238</v>
      </c>
      <c r="M36">
        <v>38</v>
      </c>
      <c r="N36" s="1">
        <v>77</v>
      </c>
      <c r="O36">
        <v>88.5</v>
      </c>
      <c r="P36">
        <v>11.5</v>
      </c>
      <c r="Q36" t="s">
        <v>35</v>
      </c>
      <c r="R36" t="s">
        <v>36</v>
      </c>
      <c r="S36" t="s">
        <v>37</v>
      </c>
      <c r="T36">
        <v>12</v>
      </c>
      <c r="U36">
        <v>20</v>
      </c>
      <c r="V36">
        <v>2.4E-2</v>
      </c>
      <c r="W36">
        <v>0.2</v>
      </c>
      <c r="X36" t="s">
        <v>38</v>
      </c>
      <c r="Y36" t="s">
        <v>39</v>
      </c>
      <c r="Z36" t="s">
        <v>40</v>
      </c>
    </row>
    <row r="37" spans="1:26" x14ac:dyDescent="0.25">
      <c r="A37">
        <v>36</v>
      </c>
      <c r="B37" s="2" t="str">
        <f t="shared" si="0"/>
        <v>O=C(C1=CC=CC=C1)C=C2CCCC=C2</v>
      </c>
      <c r="C37" t="s">
        <v>239</v>
      </c>
      <c r="D37" t="s">
        <v>240</v>
      </c>
      <c r="E37" t="s">
        <v>241</v>
      </c>
      <c r="F37" t="s">
        <v>242</v>
      </c>
      <c r="G37" t="s">
        <v>243</v>
      </c>
      <c r="H37" t="s">
        <v>30</v>
      </c>
      <c r="I37" t="s">
        <v>31</v>
      </c>
      <c r="J37">
        <v>0</v>
      </c>
      <c r="K37" t="s">
        <v>32</v>
      </c>
      <c r="L37" t="s">
        <v>244</v>
      </c>
      <c r="M37">
        <v>14</v>
      </c>
      <c r="N37" s="1">
        <v>90</v>
      </c>
      <c r="O37">
        <v>95</v>
      </c>
      <c r="P37">
        <v>5</v>
      </c>
      <c r="Q37" t="s">
        <v>35</v>
      </c>
      <c r="R37" t="s">
        <v>36</v>
      </c>
      <c r="S37" t="s">
        <v>37</v>
      </c>
      <c r="T37">
        <v>12</v>
      </c>
      <c r="U37">
        <v>20</v>
      </c>
      <c r="V37">
        <v>2.4E-2</v>
      </c>
      <c r="W37">
        <v>0.2</v>
      </c>
      <c r="X37" t="s">
        <v>38</v>
      </c>
      <c r="Y37" t="s">
        <v>39</v>
      </c>
      <c r="Z37" t="s">
        <v>40</v>
      </c>
    </row>
    <row r="38" spans="1:26" x14ac:dyDescent="0.25">
      <c r="A38">
        <v>37</v>
      </c>
      <c r="B38" s="2" t="str">
        <f t="shared" si="0"/>
        <v>CC(C=CC(C1=CC=CC=C1)=O)C</v>
      </c>
      <c r="C38" t="s">
        <v>245</v>
      </c>
      <c r="D38" t="s">
        <v>246</v>
      </c>
      <c r="E38" t="s">
        <v>247</v>
      </c>
      <c r="F38" t="s">
        <v>248</v>
      </c>
      <c r="G38" t="s">
        <v>249</v>
      </c>
      <c r="H38" t="s">
        <v>30</v>
      </c>
      <c r="I38" t="s">
        <v>31</v>
      </c>
      <c r="J38">
        <v>0</v>
      </c>
      <c r="K38" t="s">
        <v>32</v>
      </c>
      <c r="L38" t="s">
        <v>250</v>
      </c>
      <c r="M38">
        <v>39</v>
      </c>
      <c r="N38" s="1">
        <v>79</v>
      </c>
      <c r="O38">
        <v>89.5</v>
      </c>
      <c r="P38">
        <v>10.5</v>
      </c>
      <c r="Q38" t="s">
        <v>35</v>
      </c>
      <c r="R38" t="s">
        <v>36</v>
      </c>
      <c r="S38" t="s">
        <v>37</v>
      </c>
      <c r="T38">
        <v>12</v>
      </c>
      <c r="U38">
        <v>20</v>
      </c>
      <c r="V38">
        <v>2.4E-2</v>
      </c>
      <c r="W38">
        <v>0.2</v>
      </c>
      <c r="X38" t="s">
        <v>38</v>
      </c>
      <c r="Y38" t="s">
        <v>39</v>
      </c>
      <c r="Z38" t="s">
        <v>40</v>
      </c>
    </row>
    <row r="39" spans="1:26" x14ac:dyDescent="0.25">
      <c r="A39">
        <v>38</v>
      </c>
      <c r="B39" s="2" t="str">
        <f t="shared" si="0"/>
        <v>CC1=CC=C(C=C1)C=CC(C2=CC=C(N(=O)=O)C=C2)=O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30</v>
      </c>
      <c r="I39" t="s">
        <v>31</v>
      </c>
      <c r="J39">
        <v>0</v>
      </c>
      <c r="K39" t="s">
        <v>32</v>
      </c>
      <c r="L39" t="s">
        <v>256</v>
      </c>
      <c r="M39">
        <v>29</v>
      </c>
      <c r="N39" s="1">
        <v>52</v>
      </c>
      <c r="O39">
        <v>76</v>
      </c>
      <c r="P39">
        <v>24</v>
      </c>
      <c r="Q39" t="s">
        <v>35</v>
      </c>
      <c r="R39" t="s">
        <v>36</v>
      </c>
      <c r="S39" t="s">
        <v>37</v>
      </c>
      <c r="T39">
        <v>12</v>
      </c>
      <c r="U39">
        <v>20</v>
      </c>
      <c r="V39">
        <v>2.4E-2</v>
      </c>
      <c r="W39">
        <v>0.2</v>
      </c>
      <c r="X39" t="s">
        <v>38</v>
      </c>
      <c r="Y39" t="s">
        <v>39</v>
      </c>
      <c r="Z39" t="s">
        <v>40</v>
      </c>
    </row>
    <row r="40" spans="1:26" x14ac:dyDescent="0.25">
      <c r="A40">
        <v>39</v>
      </c>
      <c r="B40" s="2" t="str">
        <f t="shared" si="0"/>
        <v>ClC1=CC=C(C=CC(C2=CC=C(C=C2)N(=O)=O)=O)C=C1</v>
      </c>
      <c r="C40" t="s">
        <v>257</v>
      </c>
      <c r="D40" t="s">
        <v>258</v>
      </c>
      <c r="E40" t="s">
        <v>259</v>
      </c>
      <c r="F40" t="s">
        <v>260</v>
      </c>
      <c r="G40" t="s">
        <v>261</v>
      </c>
      <c r="H40" t="s">
        <v>30</v>
      </c>
      <c r="I40" t="s">
        <v>31</v>
      </c>
      <c r="J40">
        <v>0</v>
      </c>
      <c r="K40" t="s">
        <v>32</v>
      </c>
      <c r="L40" t="s">
        <v>262</v>
      </c>
      <c r="M40">
        <v>74</v>
      </c>
      <c r="N40" s="1">
        <v>81</v>
      </c>
      <c r="O40">
        <v>90.5</v>
      </c>
      <c r="P40">
        <v>9.5</v>
      </c>
      <c r="Q40" t="s">
        <v>35</v>
      </c>
      <c r="R40" t="s">
        <v>36</v>
      </c>
      <c r="S40" t="s">
        <v>37</v>
      </c>
      <c r="T40">
        <v>12</v>
      </c>
      <c r="U40">
        <v>20</v>
      </c>
      <c r="V40">
        <v>2.4E-2</v>
      </c>
      <c r="W40">
        <v>0.2</v>
      </c>
      <c r="X40" t="s">
        <v>38</v>
      </c>
      <c r="Y40" t="s">
        <v>39</v>
      </c>
      <c r="Z40" t="s">
        <v>40</v>
      </c>
    </row>
    <row r="41" spans="1:26" x14ac:dyDescent="0.25">
      <c r="A41">
        <v>40</v>
      </c>
      <c r="B41" s="2" t="str">
        <f t="shared" si="0"/>
        <v>O=C(C1=CC=CC=C1)C=CC(C2=CC=CC=C2)=O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30</v>
      </c>
      <c r="I41" t="s">
        <v>31</v>
      </c>
      <c r="J41">
        <v>0</v>
      </c>
      <c r="K41" t="s">
        <v>32</v>
      </c>
      <c r="L41" t="s">
        <v>268</v>
      </c>
      <c r="M41">
        <v>65</v>
      </c>
      <c r="N41" s="1">
        <v>18</v>
      </c>
      <c r="O41">
        <v>59</v>
      </c>
      <c r="P41">
        <v>41</v>
      </c>
      <c r="Q41" t="s">
        <v>35</v>
      </c>
      <c r="R41" t="s">
        <v>36</v>
      </c>
      <c r="S41" t="s">
        <v>37</v>
      </c>
      <c r="T41">
        <v>12</v>
      </c>
      <c r="U41">
        <v>20</v>
      </c>
      <c r="V41">
        <v>2.4E-2</v>
      </c>
      <c r="W41">
        <v>0.2</v>
      </c>
      <c r="X41" t="s">
        <v>38</v>
      </c>
      <c r="Y41" t="s">
        <v>39</v>
      </c>
      <c r="Z41" t="s">
        <v>40</v>
      </c>
    </row>
    <row r="42" spans="1:26" x14ac:dyDescent="0.25">
      <c r="A42">
        <v>41</v>
      </c>
      <c r="B42" s="2" t="str">
        <f t="shared" si="0"/>
        <v>CCCCCC=CC(C)=O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30</v>
      </c>
      <c r="I42" t="s">
        <v>31</v>
      </c>
      <c r="J42">
        <v>0</v>
      </c>
      <c r="K42" t="s">
        <v>32</v>
      </c>
      <c r="L42" t="s">
        <v>274</v>
      </c>
      <c r="M42">
        <v>88</v>
      </c>
      <c r="N42" s="1">
        <v>70</v>
      </c>
      <c r="O42">
        <v>85</v>
      </c>
      <c r="P42">
        <v>15</v>
      </c>
      <c r="Q42" t="s">
        <v>35</v>
      </c>
      <c r="R42" t="s">
        <v>36</v>
      </c>
      <c r="S42" t="s">
        <v>37</v>
      </c>
      <c r="T42">
        <v>12</v>
      </c>
      <c r="U42">
        <v>20</v>
      </c>
      <c r="V42">
        <v>2.4E-2</v>
      </c>
      <c r="W42">
        <v>0.2</v>
      </c>
      <c r="X42" t="s">
        <v>38</v>
      </c>
      <c r="Y42" t="s">
        <v>39</v>
      </c>
      <c r="Z4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2024-08-08T08:29:22Z</dcterms:modified>
</cp:coreProperties>
</file>