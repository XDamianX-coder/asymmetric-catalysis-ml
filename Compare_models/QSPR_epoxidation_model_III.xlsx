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ocuments\GitHub\epo_tiol\QSPR\QSPR_0_100_both_SMILES_as_one\Data\"/>
    </mc:Choice>
  </mc:AlternateContent>
  <xr:revisionPtr revIDLastSave="0" documentId="13_ncr:1_{A7398CA1-3055-4A55-9E4C-B71EF0276044}" xr6:coauthVersionLast="47" xr6:coauthVersionMax="47" xr10:uidLastSave="{00000000-0000-0000-0000-000000000000}"/>
  <bookViews>
    <workbookView xWindow="-108" yWindow="-108" windowWidth="30936" windowHeight="16776" xr2:uid="{4B05D4D7-276F-4A1C-ABAF-5060D57B685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2" i="1"/>
  <c r="D2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</calcChain>
</file>

<file path=xl/sharedStrings.xml><?xml version="1.0" encoding="utf-8"?>
<sst xmlns="http://schemas.openxmlformats.org/spreadsheetml/2006/main" count="602" uniqueCount="174">
  <si>
    <t>Reaction: Links to Reaxys</t>
  </si>
  <si>
    <t>Reaction</t>
  </si>
  <si>
    <t>Temperature (Reaction Details) [C]</t>
  </si>
  <si>
    <t>Other Conditions</t>
  </si>
  <si>
    <t>Reaction Type</t>
  </si>
  <si>
    <t>Yield (numerical)</t>
  </si>
  <si>
    <t>Yield (optical)</t>
  </si>
  <si>
    <t>Reagent</t>
  </si>
  <si>
    <t>Catalyst</t>
  </si>
  <si>
    <t>Solvent (Reaction Details)</t>
  </si>
  <si>
    <t>References</t>
  </si>
  <si>
    <t>https://www.reaxys.com/reaxys/secured/hopinto.do?context=R&amp;query=RX.ID%3D8890282&amp;database=RX&amp;origin=ReaxysOutput&amp;ln=</t>
  </si>
  <si>
    <t>-78 - 25; -65</t>
  </si>
  <si>
    <t>Inert atmosphere; Schlenk technique; Inert atmosphere; Schlenk technique</t>
  </si>
  <si>
    <t>Michael Addition; Michael Addition</t>
  </si>
  <si>
    <t>80 percent ee</t>
  </si>
  <si>
    <t>dibutylmagnesium; (S,S)-prophenol</t>
  </si>
  <si>
    <t>toluene</t>
  </si>
  <si>
    <t>Article; Jaszczewska-Adamczak, Joanna A.;Baczewska, Paulina;Bujok, Robert;Mlynarski, Jacek; Advanced Synthesis and Catalysis; vol. 366; 6; (2024); p. 1412 - 1421;</t>
  </si>
  <si>
    <t>https://www.reaxys.com/reaxys/secured/hopinto.do?context=R&amp;query=RX.ID%3D4889511&amp;database=RX&amp;origin=ReaxysOutput&amp;ln=</t>
  </si>
  <si>
    <t>-78 - 25; -78</t>
  </si>
  <si>
    <t>46 percent ee</t>
  </si>
  <si>
    <t>https://www.reaxys.com/reaxys/secured/hopinto.do?context=R&amp;query=RX.ID%3D28210730&amp;database=RX&amp;origin=ReaxysOutput&amp;ln=</t>
  </si>
  <si>
    <t>CC(C)(C)S.O=C(\C=C\C1=CC=CC=C1)C1=CC=CC=C1&gt;&gt;CC(C)(C)S[C@@H](CC(=O)C1=CC=CC=C1)C1=CC=CC=C1</t>
  </si>
  <si>
    <t>95 percent ee</t>
  </si>
  <si>
    <t>https://www.reaxys.com/reaxys/secured/hopinto.do?context=R&amp;query=RX.ID%3D4889515&amp;database=RX&amp;origin=ReaxysOutput&amp;ln=</t>
  </si>
  <si>
    <t>50 percent ee</t>
  </si>
  <si>
    <t>https://www.reaxys.com/reaxys/secured/hopinto.do?context=R&amp;query=RX.ID%3D4889513&amp;database=RX&amp;origin=ReaxysOutput&amp;ln=</t>
  </si>
  <si>
    <t>82 percent ee</t>
  </si>
  <si>
    <t>https://www.reaxys.com/reaxys/secured/hopinto.do?context=R&amp;query=RX.ID%3D66913278&amp;database=RX&amp;origin=ReaxysOutput&amp;ln=</t>
  </si>
  <si>
    <t>SCCC1=CC=CC=C1.O=C(\C=C\C1=CC=CC=C1)C1=CC=CC=C1&gt;&gt;O=C(C[C@H](SCCC1=CC=CC=C1)C1=CC=CC=C1)C1=CC=CC=C1</t>
  </si>
  <si>
    <t>92 percent ee</t>
  </si>
  <si>
    <t>https://www.reaxys.com/reaxys/secured/hopinto.do?context=R&amp;query=RX.ID%3D66913289&amp;database=RX&amp;origin=ReaxysOutput&amp;ln=</t>
  </si>
  <si>
    <t>CC1=CC=C(C=CC(=O)C2=CC=CC=C2)C=C1.SCC1=CC=CC=C1&gt;&gt;CC1=CC=C(C=C1)[C@H](CC(=O)C1=CC=CC=C1)SCC1=CC=CC=C1</t>
  </si>
  <si>
    <t>97.5 percent ee</t>
  </si>
  <si>
    <t>https://www.reaxys.com/reaxys/secured/hopinto.do?context=R&amp;query=RX.ID%3D66913290&amp;database=RX&amp;origin=ReaxysOutput&amp;ln=</t>
  </si>
  <si>
    <t>SCC1=CC=CC=C1.COC1=CC=C(C=CC(=O)C2=CC=CC=C2)C=C1&gt;&gt;COC1=CC=C(C=C1)[C@H](CC(=O)C1=CC=CC=C1)SCC1=CC=CC=C1</t>
  </si>
  <si>
    <t>97 percent ee</t>
  </si>
  <si>
    <t>https://www.reaxys.com/reaxys/secured/hopinto.do?context=R&amp;query=RX.ID%3D66913291&amp;database=RX&amp;origin=ReaxysOutput&amp;ln=</t>
  </si>
  <si>
    <t>ClC1=CC=C(C=CC(=O)C2=CC=CC=C2)C=C1.SCC1=CC=CC=C1&gt;&gt;ClC1=CC=C(C=C1)[C@H](CC(=O)C1=CC=CC=C1)SCC1=CC=CC=C1</t>
  </si>
  <si>
    <t>91 percent ee</t>
  </si>
  <si>
    <t>https://www.reaxys.com/reaxys/secured/hopinto.do?context=R&amp;query=RX.ID%3D66913293&amp;database=RX&amp;origin=ReaxysOutput&amp;ln=</t>
  </si>
  <si>
    <t>FC(F)(F)C1=CC=C(C=CC(=O)C2=CC=CC=C2)C=C1.SCC1=CC=CC=C1&gt;&gt;FC(F)(F)C1=CC=C(C=C1)[C@H](CC(=O)C1=CC=CC=C1)SCC1=CC=CC=C1</t>
  </si>
  <si>
    <t>93 percent ee</t>
  </si>
  <si>
    <t>https://www.reaxys.com/reaxys/secured/hopinto.do?context=R&amp;query=RX.ID%3D66913296&amp;database=RX&amp;origin=ReaxysOutput&amp;ln=</t>
  </si>
  <si>
    <t>O=C(C=CC1=C2C=CC=CC2=CC=C1)C1=CC=CC=C1.SCC1=CC=CC=C1&gt;&gt;O=C(C[C@H](SCC1=CC=CC=C1)C1=C2C=CC=CC2=CC=C1)C1=CC=CC=C1</t>
  </si>
  <si>
    <t>https://www.reaxys.com/reaxys/secured/hopinto.do?context=R&amp;query=RX.ID%3D66913298&amp;database=RX&amp;origin=ReaxysOutput&amp;ln=</t>
  </si>
  <si>
    <t>O=C(C=CC1=CC2=CC=CC=C2C=C1)C1=CC=CC=C1.SCC1=CC=CC=C1&gt;&gt;O=C(C[C@H](SCC1=CC=CC=C1)C1=CC=C2C=CC=CC2=C1)C1=CC=CC=C1</t>
  </si>
  <si>
    <t>-65; -78</t>
  </si>
  <si>
    <t>94 percent ee</t>
  </si>
  <si>
    <t>https://www.reaxys.com/reaxys/secured/hopinto.do?context=R&amp;query=RX.ID%3D66913306&amp;database=RX&amp;origin=ReaxysOutput&amp;ln=</t>
  </si>
  <si>
    <t>FC(F)(F)C1=CC=CC=C1C=CC(=O)C1=CC=CC=C1.SCC1=CC=CC=C1&gt;&gt;FC(F)(F)C1=CC=CC=C1[C@H](CC(=O)C1=CC=CC=C1)SCC1=CC=CC=C1</t>
  </si>
  <si>
    <t>https://www.reaxys.com/reaxys/secured/hopinto.do?context=R&amp;query=RX.ID%3D66913314&amp;database=RX&amp;origin=ReaxysOutput&amp;ln=</t>
  </si>
  <si>
    <t>O=C(\C=C\C=C\C1=CC=CC=C1)C1=CC=CC=C1.SCC1=CC=CC=C1&gt;&gt;O=C(C[C@H](SCC1=CC=CC=C1)\C=C\C1=CC=CC=C1)C1=CC=CC=C1</t>
  </si>
  <si>
    <t>96 percent ee</t>
  </si>
  <si>
    <t>98 percent ee</t>
  </si>
  <si>
    <t>https://www.reaxys.com/reaxys/secured/hopinto.do?context=R&amp;query=RX.ID%3D66913337&amp;database=RX&amp;origin=ReaxysOutput&amp;ln=</t>
  </si>
  <si>
    <t>CC(C)(C)C1=CC=C(CS)C=C1.O=C(\C=C\C1=CC=CC=C1)C1=CC=CC=C1&gt;&gt;CC(C)(C)C1=CC=C(CS[C@@H](CC(=O)C2=CC=CC=C2)C2=CC=CC=C2)C=C1</t>
  </si>
  <si>
    <t>&gt; 99 percent ee</t>
  </si>
  <si>
    <t>https://www.reaxys.com/reaxys/secured/hopinto.do?context=R&amp;query=RX.ID%3D66913338&amp;database=RX&amp;origin=ReaxysOutput&amp;ln=</t>
  </si>
  <si>
    <t>SCC1=CC=CC=C1Cl.O=C(\C=C\C1=CC=CC=C1)C1=CC=CC=C1&gt;&gt;ClC1=CC=CC=C1CS[C@@H](CC(=O)C1=CC=CC=C1)C1=CC=CC=C1</t>
  </si>
  <si>
    <t>https://www.reaxys.com/reaxys/secured/hopinto.do?context=R&amp;query=RX.ID%3D66913340&amp;database=RX&amp;origin=ReaxysOutput&amp;ln=</t>
  </si>
  <si>
    <t>SCC1=C(C=CC=C1)N(=O)=O.O=C(\C=C\C1=CC=CC=C1)C1=CC=CC=C1&gt;&gt;O=C(C[C@H](SCC1=CC=CC=C1N(=O)=O)C1=CC=CC=C1)C1=CC=CC=C1</t>
  </si>
  <si>
    <t>https://www.reaxys.com/reaxys/secured/hopinto.do?context=R&amp;query=RX.ID%3D66913342&amp;database=RX&amp;origin=ReaxysOutput&amp;ln=</t>
  </si>
  <si>
    <t>SCC1=CC=C(Cl)C=C1.O=C(\C=C\C1=CC=CC=C1)C1=CC=CC=C1&gt;&gt;ClC1=CC=C(CS[C@@H](CC(=O)C2=CC=CC=C2)C2=CC=CC=C2)C=C1</t>
  </si>
  <si>
    <t>https://www.reaxys.com/reaxys/secured/hopinto.do?context=R&amp;query=RX.ID%3D66913345&amp;database=RX&amp;origin=ReaxysOutput&amp;ln=</t>
  </si>
  <si>
    <t>FC(F)(F)C1=CC=C(CS)C=C1.O=C(\C=C\C1=CC=CC=C1)C1=CC=CC=C1&gt;&gt;FC(F)(F)C1=CC=C(CS[C@@H](CC(=O)C2=CC=CC=C2)C2=CC=CC=C2)C=C1</t>
  </si>
  <si>
    <t>90 percent ee</t>
  </si>
  <si>
    <t>https://www.reaxys.com/reaxys/secured/hopinto.do?context=R&amp;query=RX.ID%3D66913347&amp;database=RX&amp;origin=ReaxysOutput&amp;ln=</t>
  </si>
  <si>
    <t>SCC1=CC=CO1.O=C(\C=C\C1=CC=CC=C1)C1=CC=CC=C1&gt;&gt;O=C(C[C@H](SCC1=CC=CO1)C1=CC=CC=C1)C1=CC=CC=C1</t>
  </si>
  <si>
    <t>https://www.reaxys.com/reaxys/secured/hopinto.do?context=R&amp;query=RX.ID%3D66913352&amp;database=RX&amp;origin=ReaxysOutput&amp;ln=</t>
  </si>
  <si>
    <t>O=C(\C=C\C1=CC=CC=C1)C1=CC=CC=C1.CCS&gt;&gt;CCS[C@@H](CC(=O)C1=CC=CC=C1)C1=CC=CC=C1</t>
  </si>
  <si>
    <t>https://www.reaxys.com/reaxys/secured/hopinto.do?context=R&amp;query=RX.ID%3D66913353&amp;database=RX&amp;origin=ReaxysOutput&amp;ln=</t>
  </si>
  <si>
    <t>SCC=C.O=C(\C=C\C1=CC=CC=C1)C1=CC=CC=C1&gt;&gt;C=CCS[C@@H](CC(=O)C1=CC=CC=C1)C1=CC=CC=C1</t>
  </si>
  <si>
    <t>https://www.reaxys.com/reaxys/secured/hopinto.do?context=R&amp;query=RX.ID%3D66913355&amp;database=RX&amp;origin=ReaxysOutput&amp;ln=</t>
  </si>
  <si>
    <t>SC1CCCCC1.O=C(\C=C\C1=CC=CC=C1)C1=CC=CC=C1&gt;&gt;O=C(C[C@H](SC1CCCCC1)C1=CC=CC=C1)C1=CC=CC=C1</t>
  </si>
  <si>
    <t>https://www.reaxys.com/reaxys/secured/hopinto.do?context=R&amp;query=RX.ID%3D66913279&amp;database=RX&amp;origin=ReaxysOutput&amp;ln=</t>
  </si>
  <si>
    <t>88 percent ee</t>
  </si>
  <si>
    <t>https://www.reaxys.com/reaxys/secured/hopinto.do?context=R&amp;query=RX.ID%3D66913281&amp;database=RX&amp;origin=ReaxysOutput&amp;ln=</t>
  </si>
  <si>
    <t>87 percent ee</t>
  </si>
  <si>
    <t>https://www.reaxys.com/reaxys/secured/hopinto.do?context=R&amp;query=RX.ID%3D66913285&amp;database=RX&amp;origin=ReaxysOutput&amp;ln=</t>
  </si>
  <si>
    <t>32 percent ee</t>
  </si>
  <si>
    <t>https://www.reaxys.com/reaxys/secured/hopinto.do?context=R&amp;query=RX.ID%3D66913287&amp;database=RX&amp;origin=ReaxysOutput&amp;ln=</t>
  </si>
  <si>
    <t>12 percent ee</t>
  </si>
  <si>
    <t>https://www.reaxys.com/reaxys/secured/hopinto.do?context=R&amp;query=RX.ID%3D66913294&amp;database=RX&amp;origin=ReaxysOutput&amp;ln=</t>
  </si>
  <si>
    <t>25 percent ee</t>
  </si>
  <si>
    <t>https://www.reaxys.com/reaxys/secured/hopinto.do?context=R&amp;query=RX.ID%3D66913299&amp;database=RX&amp;origin=ReaxysOutput&amp;ln=</t>
  </si>
  <si>
    <t>72 percent ee</t>
  </si>
  <si>
    <t>https://www.reaxys.com/reaxys/secured/hopinto.do?context=R&amp;query=RX.ID%3D66913301&amp;database=RX&amp;origin=ReaxysOutput&amp;ln=</t>
  </si>
  <si>
    <t>67 percent ee</t>
  </si>
  <si>
    <t>https://www.reaxys.com/reaxys/secured/hopinto.do?context=R&amp;query=RX.ID%3D66913303&amp;database=RX&amp;origin=ReaxysOutput&amp;ln=</t>
  </si>
  <si>
    <t>https://www.reaxys.com/reaxys/secured/hopinto.do?context=R&amp;query=RX.ID%3D66913309&amp;database=RX&amp;origin=ReaxysOutput&amp;ln=</t>
  </si>
  <si>
    <t>85 percent ee</t>
  </si>
  <si>
    <t>https://www.reaxys.com/reaxys/secured/hopinto.do?context=R&amp;query=RX.ID%3D66913311&amp;database=RX&amp;origin=ReaxysOutput&amp;ln=</t>
  </si>
  <si>
    <t>77 percent ee</t>
  </si>
  <si>
    <t>https://www.reaxys.com/reaxys/secured/hopinto.do?context=R&amp;query=RX.ID%3D66913315&amp;database=RX&amp;origin=ReaxysOutput&amp;ln=</t>
  </si>
  <si>
    <t>70 percent ee</t>
  </si>
  <si>
    <t>https://www.reaxys.com/reaxys/secured/hopinto.do?context=R&amp;query=RX.ID%3D66913317&amp;database=RX&amp;origin=ReaxysOutput&amp;ln=</t>
  </si>
  <si>
    <t>48 percent ee</t>
  </si>
  <si>
    <t>https://www.reaxys.com/reaxys/secured/hopinto.do?context=R&amp;query=RX.ID%3D66913319&amp;database=RX&amp;origin=ReaxysOutput&amp;ln=</t>
  </si>
  <si>
    <t>59 percent ee</t>
  </si>
  <si>
    <t>https://www.reaxys.com/reaxys/secured/hopinto.do?context=R&amp;query=RX.ID%3D66913321&amp;database=RX&amp;origin=ReaxysOutput&amp;ln=</t>
  </si>
  <si>
    <t>https://www.reaxys.com/reaxys/secured/hopinto.do?context=R&amp;query=RX.ID%3D66913323&amp;database=RX&amp;origin=ReaxysOutput&amp;ln=</t>
  </si>
  <si>
    <t>26 percent ee</t>
  </si>
  <si>
    <t>https://www.reaxys.com/reaxys/secured/hopinto.do?context=R&amp;query=RX.ID%3D66913325&amp;database=RX&amp;origin=ReaxysOutput&amp;ln=</t>
  </si>
  <si>
    <t>15 percent ee</t>
  </si>
  <si>
    <t>https://www.reaxys.com/reaxys/secured/hopinto.do?context=R&amp;query=RX.ID%3D66913343&amp;database=RX&amp;origin=ReaxysOutput&amp;ln=</t>
  </si>
  <si>
    <t>https://www.reaxys.com/reaxys/secured/hopinto.do?context=R&amp;query=RX.ID%3D66913349&amp;database=RX&amp;origin=ReaxysOutput&amp;ln=</t>
  </si>
  <si>
    <t>-78 - 20; -65</t>
  </si>
  <si>
    <t>3 percent ee</t>
  </si>
  <si>
    <t>https://www.reaxys.com/reaxys/secured/hopinto.do?context=R&amp;query=RX.ID%3D66913351&amp;database=RX&amp;origin=ReaxysOutput&amp;ln=</t>
  </si>
  <si>
    <t>40 percent ee</t>
  </si>
  <si>
    <t>https://www.reaxys.com/reaxys/secured/hopinto.do?context=R&amp;query=RX.ID%3D66913357&amp;database=RX&amp;origin=ReaxysOutput&amp;ln=</t>
  </si>
  <si>
    <t>-78 - 0; -78</t>
  </si>
  <si>
    <t>6 percent ee</t>
  </si>
  <si>
    <t>https://www.reaxys.com/reaxys/secured/hopinto.do?context=R&amp;query=RX.ID%3D44344971&amp;database=RX&amp;origin=ReaxysOutput&amp;ln=</t>
  </si>
  <si>
    <t>74 percent ee</t>
  </si>
  <si>
    <t>https://www.reaxys.com/reaxys/secured/hopinto.do?context=R&amp;query=RX.ID%3D47604948&amp;database=RX&amp;origin=ReaxysOutput&amp;ln=</t>
  </si>
  <si>
    <t>43 percent ee</t>
  </si>
  <si>
    <t>SCC1=CC=CC=C1.O=C(C2=CC=CC=C2)/C=C/C3=CC=CC=C3&gt;&gt;O=C(C4=CC=CC=C4)C[C@@H](C5=CC=CC=C5)SCC6=CC=CC=C6</t>
  </si>
  <si>
    <t>SC1=NC=CC=C1.O=C(C2=CC=CC=C2)/C=C/C3=CC=CC=C3&gt;&gt;O=C(C4=CC=CC=C4)C[C@@H](C5=CC=CC=C5)SC6=CC=CC=N6</t>
  </si>
  <si>
    <t>O=C(C1=CC=CC=C1)/C=C/C2=CC=CC=C2.SC(C3=CC=CC=C3)(C4=CC=CC=C4)C5=CC=CC=C5&gt;&gt;O=C(C6=CC=CC=C6)C[C@@H](C7=CC=CC=C7)SC(C8=CC=CC=C8)(C9=CC=CC=C9)C%10=CC=CC=C%10</t>
  </si>
  <si>
    <t>(S,S)-prophenol</t>
  </si>
  <si>
    <t>SC1=CC=CC=C1.O=C(C2=CC=CC=C2)/C=C/C3=CC=CC=C3&gt;&gt;O=C(C4=CC=CC=C4)C[C@@H](C5=CC=CC=C5)SC6=CC=CC=C6</t>
  </si>
  <si>
    <t>O=C1CCCC=C1.SCC2=CC=CC=C2&gt;&gt;O=C3CCC[C@@H](SCC4=CC=CC=C4)C3</t>
  </si>
  <si>
    <t>O=C1CCCCC=C1.SCC2=CC=CC=C2&gt;&gt;O=C3CCCC[C@@H](SCC4=CC=CC=C4)C3</t>
  </si>
  <si>
    <t>CC1=CC(CCC1)=O.SCC2=CC=CC=C2&gt;&gt;C[C@@]3(SCC4=CC=CC=C4)CCCC(C3)=O</t>
  </si>
  <si>
    <t>COC(CCS)=O.O=C(C1=CC=CC=C1)/C=C/C2=CC=CC=C2&gt;&gt;COC(CCS[C@H](C3=CC=CC=C3)CC(C4=CC=CC=C4)=O)=O</t>
  </si>
  <si>
    <t>COC(CC1(CC1)CS)=O.O=C(C2=CC=CC=C2)/C=C/C3=CC=CC=C3&gt;&gt;COC(CC4(CC4)CS[C@H](C5=CC=CC=C5)CC(C6=CC=CC=C6)=O)=O</t>
  </si>
  <si>
    <t>CC(C)(OC(NCCS)=O)C.O=C(C1=CC=CC=C1)/C=C/C2=CC=CC=C2&gt;&gt;CC(C)(OC(NCCS[C@H](C3=CC=CC=C3)CC(C4=CC=CC=C4)=O)=O)C</t>
  </si>
  <si>
    <t>O=C(C1=CC=CC=C1)/C=C/C2=CC=CC=C2.OCCS&gt;&gt;OCCS[C@H](C3=CC=CC=C3)CC(C4=CC=CC=C4)=O</t>
  </si>
  <si>
    <t>O=C(C1=CC=CC=C1)C=CC2=CC=C(N(=O)=O)C=C2.SCC3=CC=CC=C3&gt;&gt;O=C(C4=CC=CC=C4)C[C@@H](C5=CC=C(N(=O)=O)C=C5)SCC6=CC=CC=C6</t>
  </si>
  <si>
    <t>CC1=CC=CC=C1C=CC(C2=CC=CC=C2)=O.SCC3=CC=CC=C3&gt;&gt;CC4=CC=CC=C4[C@@H](SCC5=CC=CC=C5)CC(C6=CC=CC=C6)=O</t>
  </si>
  <si>
    <t>COC1=CC=CC=C1C=CC(C2=CC=CC=C2)=O.SCC3=CC=CC=C3&gt;&gt;COC4=CC=CC=C4[C@@H](SCC5=CC=CC=C5)CC(C6=CC=CC=C6)=O</t>
  </si>
  <si>
    <t>ClC1=CC=CC=C1C=CC(C2=CC=CC=C2)=O.SCC3=CC=CC=C3&gt;&gt;ClC4=CC=CC=C4[C@@H](SCC5=CC=CC=C5)CC(C6=CC=CC=C6)=O</t>
  </si>
  <si>
    <t>O=C(C1=CC=CC=C1)C=CC2=CC=CS2.SCC3=CC=CC=C3&gt;&gt;O=C(C4=CC=CC=C4)C[C@@H](C5=CC=CS5)SCC6=CC=CC=C6</t>
  </si>
  <si>
    <t>O=C(C1=CC=CC=C1)C=CC2=CC3=CC=CC=C3S2.SCC4=CC=CC=C4&gt;&gt;O=C(C5=CC=CC=C5)C[C@@H](C6=CC7=CC=CC=C7S6)SCC8=CC=CC=C8</t>
  </si>
  <si>
    <t>C/C=C/C=C/C(C1=CC=CC=C1)=O.SCC2=CC=CC=C2&gt;&gt;C/C=C/[C@@H](SCC3=CC=CC=C3)CC(C4=CC=CC=C4)=O</t>
  </si>
  <si>
    <t>CCCCC=CC(C1=CC=CC=C1)=O.SCC2=CC=CC=C2&gt;&gt;CCCC[C@@H](SCC3=CC=CC=C3)CC(C4=CC=CC=C4)=O</t>
  </si>
  <si>
    <t>O=C(C1=CC=CC=C1)C=CC2CCCCC2.SCC3=CC=CC=C3&gt;&gt;O=C(C4=CC=CC=C4)C[C@@H](C5CCCCC5)SCC6=CC=CC=C6</t>
  </si>
  <si>
    <t>CC(C)(C=CC(C1=CC=CC=C1)=O)C.SCC2=CC=CC=C2&gt;&gt;CC(C)([C@@H](SCC3=CC=CC=C3)CC(C4=CC=CC=C4)=O)C</t>
  </si>
  <si>
    <t>FC(F)(C=CC(C1=CC=CC=C1)=O)F.SCC2=CC=CC=C2&gt;&gt;FC(F)([C@@H](SCC3=CC=CC=C3)CC(C4=CC=CC=C4)=O)F</t>
  </si>
  <si>
    <t>CCOC(C=CC(C1=CC=CC=C1)=O)=O.SCC2=CC=CC=C2&gt;&gt;CCOC([C@@H](SCC3=CC=CC=C3)CC(C4=CC=CC=C4)=O)=O</t>
  </si>
  <si>
    <t>SCC1=CC=C(N(=O)=O)C=C1.O=C(C2=CC=CC=C2)/C=C/C3=CC=CC=C3&gt;&gt;O=C(C4=CC=CC=C4)C[C@@H](C5=CC=CC=C5)SCC6=CC=C(N(=O)=O)C=C6</t>
  </si>
  <si>
    <t>O=C(C1=CC=CC=C1)/C=C/C2=CC=CC=C2.COC(C3=CC=CC=C3S)=O&gt;&gt;COC(C4=CC=CC=C4S[C@H](C5=CC=CC=C5)CC(C6=CC=CC=C6)=O)=O</t>
  </si>
  <si>
    <t>CC1=C(OC=C1)S.O=C(C2=CC=CC=C2)/C=C/C3=CC=CC=C3&gt;&gt;CC4=C(S[C@H](C5=CC=CC=C5)CC(C6=CC=CC=C6)=O)OC=C4</t>
  </si>
  <si>
    <t>SC12CC3CC(C2)CC(C1)C3.O=C(C4=CC=CC=C4)/C=C/C5=CC=CC=C5&gt;&gt;O=C(C6=CC=CC=C6)C[C@@H](C7=CC=CC=C7)SC89CC%10CC(C9)CC(C8)C%10</t>
  </si>
  <si>
    <t>NC1=CC=CC=C1S.O=C(C2=CC=CC=C2)/C=C/C3=CC=CC=C3&gt;&gt;NC4=C(C=CC=C4)S[C@H](C5=CC=CC=C5)CC(C6=CC=CC=C6)=O</t>
  </si>
  <si>
    <t>COC(CS)=O.O=C(C1=CC=CC=C1)/C=C/C2=CC=CC=C2&gt;&gt;COC(CS[C@H](C3=CC=CC=C3)CC(C4=CC=CC=C4)=O)=O</t>
  </si>
  <si>
    <t>CC(NCCS)=O.O=C(/C=C/C1=CC=CC=C1)C2=CC=CC=C2&gt;&gt;O=C(C[C@H](SCCNC(C)=O)C3=CC=CC=C3)C4=CC=CC=C4</t>
  </si>
  <si>
    <t>-78 - 25; -79</t>
  </si>
  <si>
    <t>SCC1(CC1)CC(O)=O.O=C(/C=C/C2=CC=CC=C2)C3=CC=CC=C3&gt;&gt;OC(CC4(CC4)CS[C@H](C5=CC=CC=C5)CC(C6=CC=CC=C6)=O)=O</t>
  </si>
  <si>
    <t>-78 - 25; -80</t>
  </si>
  <si>
    <t>SCC1=CC=CC=C1.O=C(/C(C2=CC=CC=C2)=C/C3=CC=CC=C3)C4=CC=CC=C4&gt;&gt;O=C([C@H](C5=CC=CC=C5)[C@H](SCC6=CC=CC=C6)C7=CC=CC=C7)C8=CC=CC=C8</t>
  </si>
  <si>
    <t>-78 - 25; -81</t>
  </si>
  <si>
    <t>-78 - 25; -82</t>
  </si>
  <si>
    <t>-78 - 25; -83</t>
  </si>
  <si>
    <t>-78 - 25; -84</t>
  </si>
  <si>
    <t>SCC1=CC=CC=C1.C/C(C(C2=CC=CC=C2)=O)=C\C=C\C3=CC=CC=C3&gt;&gt;C[C@H]([C@H](SCC4=CC=CC=C4)/C=C/C5=CC=CC=C5)C(C6=CC=CC=C6)=O</t>
  </si>
  <si>
    <t>SCC1=CC=CC=C1.C/C(C(C2=CC=CC=C2)=O)=C\C3=CC=CS3&gt;&gt;C[C@H]([C@H](SCC4=CC=CC=C4)C5=CC=CS5)C(C6=CC=CC=C6)=O</t>
  </si>
  <si>
    <t>SCC1=CC=CC=C1.O=C2C(C=CC=C3)=C3CC/C2=C\C=C\C4=CC=CC=C4&gt;&gt;O=C5C(C=CC=C6)=C6CC[C@@H]5[C@H](SCC7=CC=CC=C7)/C=C/C8=CC=CC=C8</t>
  </si>
  <si>
    <t>ee</t>
  </si>
  <si>
    <t>97.5</t>
  </si>
  <si>
    <t>CC1(C)COC(CC2(CC2)CS)=N1.O=C(C3=CC=CC=C3)/C=C/C4=CC=CC=C4&gt;&gt;CC5(C)COC(CC6(CC6)CS[C@@H](CC(C7=CC=CC=C7)=O)C8=CC=CC=C8)=N5</t>
  </si>
  <si>
    <t>SCC1(CC1)CC#N.O=C(/C=C/C2=CC(C(OC)OC)=CC=C2)C3=CC=CC=C3Br&gt;&gt;O=C(C[C@@H](C4=CC(C(OC)OC)=CC=C4)SCC5(CC5)CC#N)C6=CC=CC=C6Br</t>
  </si>
  <si>
    <t>SCC1(CC1)CC#N.O=C(/C=C/C2=CC(C3SCCCS3)=CC=C2)C4=CC=CC=C4Br&gt;&gt;O=C(C[C@@H](C5=CC(C6SCCCS6)=CC=C5)SCC7(CC7)CC#N)C8=CC=CC=C8Br</t>
  </si>
  <si>
    <t>SCC1(CC1)CC#N.C=CC2=CC(/C=C/C(C3=C(C=CC=C3)Br)=O)=CC=C2&gt;&gt;C=CC4=CC([C@H](CC(C5=C(C=CC=C5)Br)=O)SCC6(CC6)CC#N)=CC=C4</t>
  </si>
  <si>
    <t>SCC1(CC1)CC(OC)=O.O=CC2=CC=CC(/C=C/C(C3=C(C=CC=C3)C(OC)=O)=O)=C2&gt;&gt;O=CC4=CC=CC([C@H](CC(C5=C(C=CC=C5)C(OC)=O)=O)SCC6(CC6)CC(OC)=O)=C4</t>
  </si>
  <si>
    <t>SCC1(CC1)CC(OC)=O.BrC2=CC=CC(/C=C/C(C3=C(C=CC=C3)C(OC)=O)=O)=C2&gt;&gt;BrC4=CC=CC([C@H](CC(C5=C(C=CC=C5)C(OC)=O)=O)SCC6(CC6)CC(OC)=O)=C4</t>
  </si>
  <si>
    <t>SCC1(CC1)CC(OC)=O.C=CC2=CC(/C=C/C(C3=C(C=CC=C3)Br)=O)=CC=C2&gt;&gt;C=CC4=CC([C@H](CC(C5=C(C=CC=C5)Br)=O)SCC6(CC6)CC(OC)=O)=CC=C4</t>
  </si>
  <si>
    <t>O=C(C1=CC=CC=C1)/C(C)=C/C.SCC2=CC=CC=C2&gt;&gt;O=C(C3=CC=CC=C3)[C@@H]([C@@H](C)SCC4=CC=CC=C4)C</t>
  </si>
  <si>
    <t>SMILES_substrate_1</t>
  </si>
  <si>
    <t>SMILES_substrate_2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</si>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</sst>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name val="Arial"/>
      <family val="2"/>
      <charset val="238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1074-D3B1-4D61-9D47-A6490098D53D}">
  <dimension ref="A1:R63"/>
  <sheetViews>
    <sheetView tabSelected="1" workbookViewId="0">
      <selection activeCell="B2" sqref="B2:B63"/>
    </sheetView>
  </sheetViews>
  <sheetFormatPr defaultRowHeight="14.4" x14ac:dyDescent="0.3"/>
  <cols>
    <col min="2" max="2" width="92.77734375" bestFit="1" customWidth="1"/>
    <col min="3" max="3" width="51.33203125" bestFit="1" customWidth="1"/>
    <col min="4" max="4" width="58" bestFit="1" customWidth="1"/>
    <col min="5" max="5" width="153.33203125" customWidth="1"/>
    <col min="9" max="9" width="8.88671875" customWidth="1"/>
    <col min="10" max="13" width="14.109375" customWidth="1"/>
  </cols>
  <sheetData>
    <row r="1" spans="1:18" x14ac:dyDescent="0.3">
      <c r="A1" s="1" t="s">
        <v>0</v>
      </c>
      <c r="B1" s="1" t="s">
        <v>173</v>
      </c>
      <c r="C1" s="1" t="s">
        <v>171</v>
      </c>
      <c r="D1" s="1" t="s">
        <v>172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5</v>
      </c>
      <c r="J1" s="2" t="s">
        <v>6</v>
      </c>
      <c r="K1" s="2">
        <v>9</v>
      </c>
      <c r="L1" s="2">
        <v>10</v>
      </c>
      <c r="M1" s="2">
        <v>11</v>
      </c>
      <c r="N1" s="2" t="s">
        <v>161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 x14ac:dyDescent="0.3">
      <c r="A2" s="1" t="s">
        <v>11</v>
      </c>
      <c r="B2" s="1" t="str">
        <f>_xlfn.TEXTBEFORE(E2,"&gt;&gt;")</f>
        <v>SC1=CC=CC=C1.O=C(C2=CC=CC=C2)/C=C/C3=CC=CC=C3</v>
      </c>
      <c r="C2" s="1" t="str">
        <f>_xlfn.TEXTBEFORE(E2, ".")</f>
        <v>SC1=CC=CC=C1</v>
      </c>
      <c r="D2" s="1" t="str">
        <f>_xlfn.TEXTAFTER(_xlfn.TEXTBEFORE(E2, "&gt;&gt;"),".")</f>
        <v>O=C(C2=CC=CC=C2)/C=C/C3=CC=CC=C3</v>
      </c>
      <c r="E2" s="1" t="s">
        <v>123</v>
      </c>
      <c r="F2" s="1" t="s">
        <v>12</v>
      </c>
      <c r="G2" s="1" t="s">
        <v>13</v>
      </c>
      <c r="H2" s="1" t="s">
        <v>14</v>
      </c>
      <c r="I2" s="2">
        <v>95</v>
      </c>
      <c r="J2" s="2" t="s">
        <v>15</v>
      </c>
      <c r="K2" s="2"/>
      <c r="L2" s="2"/>
      <c r="M2" s="2"/>
      <c r="N2" s="2">
        <v>80</v>
      </c>
      <c r="O2" s="1" t="s">
        <v>16</v>
      </c>
      <c r="P2" s="1" t="s">
        <v>122</v>
      </c>
      <c r="Q2" s="1" t="s">
        <v>17</v>
      </c>
      <c r="R2" s="1" t="s">
        <v>18</v>
      </c>
    </row>
    <row r="3" spans="1:18" x14ac:dyDescent="0.3">
      <c r="A3" s="1" t="s">
        <v>19</v>
      </c>
      <c r="B3" s="1" t="str">
        <f t="shared" ref="B3:B63" si="0">_xlfn.TEXTBEFORE(E3,"&gt;&gt;")</f>
        <v>O=C1CCCC=C1.SCC2=CC=CC=C2</v>
      </c>
      <c r="C3" s="1" t="str">
        <f t="shared" ref="C3:C63" si="1">_xlfn.TEXTBEFORE(E3, ".")</f>
        <v>O=C1CCCC=C1</v>
      </c>
      <c r="D3" s="1" t="str">
        <f t="shared" ref="D3:D63" si="2">_xlfn.TEXTAFTER(_xlfn.TEXTBEFORE(E3, "&gt;&gt;"),".")</f>
        <v>SCC2=CC=CC=C2</v>
      </c>
      <c r="E3" s="1" t="s">
        <v>124</v>
      </c>
      <c r="F3" s="1" t="s">
        <v>20</v>
      </c>
      <c r="G3" s="1" t="s">
        <v>13</v>
      </c>
      <c r="H3" s="1" t="s">
        <v>14</v>
      </c>
      <c r="I3" s="2">
        <v>92</v>
      </c>
      <c r="J3" s="2" t="s">
        <v>21</v>
      </c>
      <c r="K3" s="2"/>
      <c r="L3" s="2"/>
      <c r="M3" s="2"/>
      <c r="N3" s="2">
        <v>46</v>
      </c>
      <c r="O3" s="1" t="s">
        <v>16</v>
      </c>
      <c r="P3" s="1" t="s">
        <v>122</v>
      </c>
      <c r="Q3" s="1" t="s">
        <v>17</v>
      </c>
      <c r="R3" s="1" t="s">
        <v>18</v>
      </c>
    </row>
    <row r="4" spans="1:18" x14ac:dyDescent="0.3">
      <c r="A4" s="1" t="s">
        <v>22</v>
      </c>
      <c r="B4" s="1" t="str">
        <f t="shared" si="0"/>
        <v>CC(C)(C)S.O=C(\C=C\C1=CC=CC=C1)C1=CC=CC=C1</v>
      </c>
      <c r="C4" s="1" t="str">
        <f t="shared" si="1"/>
        <v>CC(C)(C)S</v>
      </c>
      <c r="D4" s="1" t="str">
        <f t="shared" si="2"/>
        <v>O=C(\C=C\C1=CC=CC=C1)C1=CC=CC=C1</v>
      </c>
      <c r="E4" s="1" t="s">
        <v>23</v>
      </c>
      <c r="F4" s="1" t="s">
        <v>20</v>
      </c>
      <c r="G4" s="1" t="s">
        <v>13</v>
      </c>
      <c r="H4" s="1" t="s">
        <v>14</v>
      </c>
      <c r="I4" s="2">
        <v>84</v>
      </c>
      <c r="J4" s="2" t="s">
        <v>24</v>
      </c>
      <c r="K4" s="2"/>
      <c r="L4" s="2"/>
      <c r="M4" s="2"/>
      <c r="N4" s="2">
        <v>95</v>
      </c>
      <c r="O4" s="1" t="s">
        <v>16</v>
      </c>
      <c r="P4" s="1" t="s">
        <v>122</v>
      </c>
      <c r="Q4" s="1" t="s">
        <v>17</v>
      </c>
      <c r="R4" s="1" t="s">
        <v>18</v>
      </c>
    </row>
    <row r="5" spans="1:18" x14ac:dyDescent="0.3">
      <c r="A5" s="1" t="s">
        <v>25</v>
      </c>
      <c r="B5" s="1" t="str">
        <f t="shared" si="0"/>
        <v>O=C1CCCCC=C1.SCC2=CC=CC=C2</v>
      </c>
      <c r="C5" s="1" t="str">
        <f t="shared" si="1"/>
        <v>O=C1CCCCC=C1</v>
      </c>
      <c r="D5" s="1" t="str">
        <f t="shared" si="2"/>
        <v>SCC2=CC=CC=C2</v>
      </c>
      <c r="E5" s="1" t="s">
        <v>125</v>
      </c>
      <c r="F5" s="1" t="s">
        <v>20</v>
      </c>
      <c r="G5" s="1" t="s">
        <v>13</v>
      </c>
      <c r="H5" s="1" t="s">
        <v>14</v>
      </c>
      <c r="I5" s="2">
        <v>83</v>
      </c>
      <c r="J5" s="2" t="s">
        <v>26</v>
      </c>
      <c r="K5" s="2"/>
      <c r="L5" s="2"/>
      <c r="M5" s="2"/>
      <c r="N5" s="2">
        <v>50</v>
      </c>
      <c r="O5" s="1" t="s">
        <v>16</v>
      </c>
      <c r="P5" s="1" t="s">
        <v>122</v>
      </c>
      <c r="Q5" s="1" t="s">
        <v>17</v>
      </c>
      <c r="R5" s="1" t="s">
        <v>18</v>
      </c>
    </row>
    <row r="6" spans="1:18" x14ac:dyDescent="0.3">
      <c r="A6" s="1" t="s">
        <v>27</v>
      </c>
      <c r="B6" s="1" t="str">
        <f t="shared" si="0"/>
        <v>CC1=CC(CCC1)=O.SCC2=CC=CC=C2</v>
      </c>
      <c r="C6" s="1" t="str">
        <f t="shared" si="1"/>
        <v>CC1=CC(CCC1)=O</v>
      </c>
      <c r="D6" s="1" t="str">
        <f t="shared" si="2"/>
        <v>SCC2=CC=CC=C2</v>
      </c>
      <c r="E6" s="1" t="s">
        <v>126</v>
      </c>
      <c r="F6" s="1" t="s">
        <v>20</v>
      </c>
      <c r="G6" s="1" t="s">
        <v>13</v>
      </c>
      <c r="H6" s="1" t="s">
        <v>14</v>
      </c>
      <c r="I6" s="2">
        <v>84</v>
      </c>
      <c r="J6" s="2" t="s">
        <v>28</v>
      </c>
      <c r="K6" s="2"/>
      <c r="L6" s="2"/>
      <c r="M6" s="2"/>
      <c r="N6" s="2">
        <v>82</v>
      </c>
      <c r="O6" s="1" t="s">
        <v>16</v>
      </c>
      <c r="P6" s="1" t="s">
        <v>122</v>
      </c>
      <c r="Q6" s="1" t="s">
        <v>17</v>
      </c>
      <c r="R6" s="1" t="s">
        <v>18</v>
      </c>
    </row>
    <row r="7" spans="1:18" x14ac:dyDescent="0.3">
      <c r="A7" s="1" t="s">
        <v>29</v>
      </c>
      <c r="B7" s="1" t="str">
        <f t="shared" si="0"/>
        <v>SCCC1=CC=CC=C1.O=C(\C=C\C1=CC=CC=C1)C1=CC=CC=C1</v>
      </c>
      <c r="C7" s="1" t="str">
        <f t="shared" si="1"/>
        <v>SCCC1=CC=CC=C1</v>
      </c>
      <c r="D7" s="1" t="str">
        <f t="shared" si="2"/>
        <v>O=C(\C=C\C1=CC=CC=C1)C1=CC=CC=C1</v>
      </c>
      <c r="E7" s="1" t="s">
        <v>30</v>
      </c>
      <c r="F7" s="1" t="s">
        <v>20</v>
      </c>
      <c r="G7" s="1" t="s">
        <v>13</v>
      </c>
      <c r="H7" s="1" t="s">
        <v>14</v>
      </c>
      <c r="I7" s="2">
        <v>90</v>
      </c>
      <c r="J7" s="2" t="s">
        <v>31</v>
      </c>
      <c r="K7" s="2"/>
      <c r="L7" s="2"/>
      <c r="M7" s="2"/>
      <c r="N7" s="2">
        <v>92</v>
      </c>
      <c r="O7" s="1" t="s">
        <v>16</v>
      </c>
      <c r="P7" s="1" t="s">
        <v>122</v>
      </c>
      <c r="Q7" s="1" t="s">
        <v>17</v>
      </c>
      <c r="R7" s="1" t="s">
        <v>18</v>
      </c>
    </row>
    <row r="8" spans="1:18" x14ac:dyDescent="0.3">
      <c r="A8" s="1" t="s">
        <v>32</v>
      </c>
      <c r="B8" s="1" t="str">
        <f t="shared" si="0"/>
        <v>CC1=CC=C(C=CC(=O)C2=CC=CC=C2)C=C1.SCC1=CC=CC=C1</v>
      </c>
      <c r="C8" s="1" t="str">
        <f t="shared" si="1"/>
        <v>CC1=CC=C(C=CC(=O)C2=CC=CC=C2)C=C1</v>
      </c>
      <c r="D8" s="1" t="str">
        <f t="shared" si="2"/>
        <v>SCC1=CC=CC=C1</v>
      </c>
      <c r="E8" s="1" t="s">
        <v>33</v>
      </c>
      <c r="F8" s="1" t="s">
        <v>20</v>
      </c>
      <c r="G8" s="1" t="s">
        <v>13</v>
      </c>
      <c r="H8" s="1" t="s">
        <v>14</v>
      </c>
      <c r="I8" s="2">
        <v>91</v>
      </c>
      <c r="J8" s="2" t="s">
        <v>34</v>
      </c>
      <c r="K8" s="2"/>
      <c r="L8" s="2"/>
      <c r="M8" s="2"/>
      <c r="N8" s="2" t="s">
        <v>162</v>
      </c>
      <c r="O8" s="1" t="s">
        <v>16</v>
      </c>
      <c r="P8" s="1" t="s">
        <v>122</v>
      </c>
      <c r="Q8" s="1" t="s">
        <v>17</v>
      </c>
      <c r="R8" s="1" t="s">
        <v>18</v>
      </c>
    </row>
    <row r="9" spans="1:18" s="5" customFormat="1" x14ac:dyDescent="0.3">
      <c r="A9" s="3" t="s">
        <v>35</v>
      </c>
      <c r="B9" s="1" t="str">
        <f t="shared" si="0"/>
        <v>SCC1=CC=CC=C1.COC1=CC=C(C=CC(=O)C2=CC=CC=C2)C=C1</v>
      </c>
      <c r="C9" s="1" t="str">
        <f t="shared" si="1"/>
        <v>SCC1=CC=CC=C1</v>
      </c>
      <c r="D9" s="1" t="str">
        <f t="shared" si="2"/>
        <v>COC1=CC=C(C=CC(=O)C2=CC=CC=C2)C=C1</v>
      </c>
      <c r="E9" s="3" t="s">
        <v>36</v>
      </c>
      <c r="F9" s="3" t="s">
        <v>20</v>
      </c>
      <c r="G9" s="3" t="s">
        <v>13</v>
      </c>
      <c r="H9" s="3" t="s">
        <v>14</v>
      </c>
      <c r="I9" s="4">
        <v>95</v>
      </c>
      <c r="J9" s="4" t="s">
        <v>37</v>
      </c>
      <c r="K9" s="4"/>
      <c r="L9" s="4"/>
      <c r="M9" s="4"/>
      <c r="N9" s="4">
        <v>97</v>
      </c>
      <c r="O9" s="3" t="s">
        <v>16</v>
      </c>
      <c r="P9" s="3" t="s">
        <v>122</v>
      </c>
      <c r="Q9" s="3" t="s">
        <v>17</v>
      </c>
      <c r="R9" s="3" t="s">
        <v>18</v>
      </c>
    </row>
    <row r="10" spans="1:18" x14ac:dyDescent="0.3">
      <c r="A10" s="1" t="s">
        <v>38</v>
      </c>
      <c r="B10" s="1" t="str">
        <f t="shared" si="0"/>
        <v>ClC1=CC=C(C=CC(=O)C2=CC=CC=C2)C=C1.SCC1=CC=CC=C1</v>
      </c>
      <c r="C10" s="1" t="str">
        <f t="shared" si="1"/>
        <v>ClC1=CC=C(C=CC(=O)C2=CC=CC=C2)C=C1</v>
      </c>
      <c r="D10" s="1" t="str">
        <f t="shared" si="2"/>
        <v>SCC1=CC=CC=C1</v>
      </c>
      <c r="E10" s="1" t="s">
        <v>39</v>
      </c>
      <c r="F10" s="1" t="s">
        <v>20</v>
      </c>
      <c r="G10" s="1" t="s">
        <v>13</v>
      </c>
      <c r="H10" s="1" t="s">
        <v>14</v>
      </c>
      <c r="I10" s="2">
        <v>90</v>
      </c>
      <c r="J10" s="2" t="s">
        <v>40</v>
      </c>
      <c r="K10" s="2"/>
      <c r="L10" s="2"/>
      <c r="M10" s="2"/>
      <c r="N10" s="2">
        <v>91</v>
      </c>
      <c r="O10" s="1" t="s">
        <v>16</v>
      </c>
      <c r="P10" s="1" t="s">
        <v>122</v>
      </c>
      <c r="Q10" s="1" t="s">
        <v>17</v>
      </c>
      <c r="R10" s="1" t="s">
        <v>18</v>
      </c>
    </row>
    <row r="11" spans="1:18" x14ac:dyDescent="0.3">
      <c r="A11" s="1" t="s">
        <v>41</v>
      </c>
      <c r="B11" s="1" t="str">
        <f t="shared" si="0"/>
        <v>FC(F)(F)C1=CC=C(C=CC(=O)C2=CC=CC=C2)C=C1.SCC1=CC=CC=C1</v>
      </c>
      <c r="C11" s="1" t="str">
        <f t="shared" si="1"/>
        <v>FC(F)(F)C1=CC=C(C=CC(=O)C2=CC=CC=C2)C=C1</v>
      </c>
      <c r="D11" s="1" t="str">
        <f t="shared" si="2"/>
        <v>SCC1=CC=CC=C1</v>
      </c>
      <c r="E11" s="1" t="s">
        <v>42</v>
      </c>
      <c r="F11" s="1" t="s">
        <v>20</v>
      </c>
      <c r="G11" s="1" t="s">
        <v>13</v>
      </c>
      <c r="H11" s="1" t="s">
        <v>14</v>
      </c>
      <c r="I11" s="2">
        <v>95</v>
      </c>
      <c r="J11" s="2" t="s">
        <v>43</v>
      </c>
      <c r="K11" s="2"/>
      <c r="L11" s="2"/>
      <c r="M11" s="2"/>
      <c r="N11" s="2">
        <v>93</v>
      </c>
      <c r="O11" s="1" t="s">
        <v>16</v>
      </c>
      <c r="P11" s="1" t="s">
        <v>122</v>
      </c>
      <c r="Q11" s="1" t="s">
        <v>17</v>
      </c>
      <c r="R11" s="1" t="s">
        <v>18</v>
      </c>
    </row>
    <row r="12" spans="1:18" x14ac:dyDescent="0.3">
      <c r="A12" s="1" t="s">
        <v>44</v>
      </c>
      <c r="B12" s="1" t="str">
        <f t="shared" si="0"/>
        <v>O=C(C=CC1=C2C=CC=CC2=CC=C1)C1=CC=CC=C1.SCC1=CC=CC=C1</v>
      </c>
      <c r="C12" s="1" t="str">
        <f t="shared" si="1"/>
        <v>O=C(C=CC1=C2C=CC=CC2=CC=C1)C1=CC=CC=C1</v>
      </c>
      <c r="D12" s="1" t="str">
        <f t="shared" si="2"/>
        <v>SCC1=CC=CC=C1</v>
      </c>
      <c r="E12" s="1" t="s">
        <v>45</v>
      </c>
      <c r="F12" s="1" t="s">
        <v>20</v>
      </c>
      <c r="G12" s="1" t="s">
        <v>13</v>
      </c>
      <c r="H12" s="1" t="s">
        <v>14</v>
      </c>
      <c r="I12" s="2">
        <v>92</v>
      </c>
      <c r="J12" s="2" t="s">
        <v>24</v>
      </c>
      <c r="K12" s="2"/>
      <c r="L12" s="2"/>
      <c r="M12" s="2"/>
      <c r="N12" s="2">
        <v>95</v>
      </c>
      <c r="O12" s="1" t="s">
        <v>16</v>
      </c>
      <c r="P12" s="1" t="s">
        <v>122</v>
      </c>
      <c r="Q12" s="1" t="s">
        <v>17</v>
      </c>
      <c r="R12" s="1" t="s">
        <v>18</v>
      </c>
    </row>
    <row r="13" spans="1:18" x14ac:dyDescent="0.3">
      <c r="A13" s="1" t="s">
        <v>46</v>
      </c>
      <c r="B13" s="1" t="str">
        <f t="shared" si="0"/>
        <v>O=C(C=CC1=CC2=CC=CC=C2C=C1)C1=CC=CC=C1.SCC1=CC=CC=C1</v>
      </c>
      <c r="C13" s="1" t="str">
        <f t="shared" si="1"/>
        <v>O=C(C=CC1=CC2=CC=CC=C2C=C1)C1=CC=CC=C1</v>
      </c>
      <c r="D13" s="1" t="str">
        <f t="shared" si="2"/>
        <v>SCC1=CC=CC=C1</v>
      </c>
      <c r="E13" s="1" t="s">
        <v>47</v>
      </c>
      <c r="F13" s="1" t="s">
        <v>48</v>
      </c>
      <c r="G13" s="1" t="s">
        <v>13</v>
      </c>
      <c r="H13" s="1" t="s">
        <v>14</v>
      </c>
      <c r="I13" s="2">
        <v>84</v>
      </c>
      <c r="J13" s="2" t="s">
        <v>49</v>
      </c>
      <c r="K13" s="2"/>
      <c r="L13" s="2"/>
      <c r="M13" s="2"/>
      <c r="N13" s="2">
        <v>94</v>
      </c>
      <c r="O13" s="1" t="s">
        <v>16</v>
      </c>
      <c r="P13" s="1" t="s">
        <v>122</v>
      </c>
      <c r="Q13" s="1" t="s">
        <v>17</v>
      </c>
      <c r="R13" s="1" t="s">
        <v>18</v>
      </c>
    </row>
    <row r="14" spans="1:18" s="5" customFormat="1" x14ac:dyDescent="0.3">
      <c r="A14" s="3" t="s">
        <v>50</v>
      </c>
      <c r="B14" s="1" t="str">
        <f t="shared" si="0"/>
        <v>FC(F)(F)C1=CC=CC=C1C=CC(=O)C1=CC=CC=C1.SCC1=CC=CC=C1</v>
      </c>
      <c r="C14" s="1" t="str">
        <f t="shared" si="1"/>
        <v>FC(F)(F)C1=CC=CC=C1C=CC(=O)C1=CC=CC=C1</v>
      </c>
      <c r="D14" s="1" t="str">
        <f t="shared" si="2"/>
        <v>SCC1=CC=CC=C1</v>
      </c>
      <c r="E14" s="3" t="s">
        <v>51</v>
      </c>
      <c r="F14" s="3" t="s">
        <v>20</v>
      </c>
      <c r="G14" s="3" t="s">
        <v>13</v>
      </c>
      <c r="H14" s="3" t="s">
        <v>14</v>
      </c>
      <c r="I14" s="4">
        <v>92</v>
      </c>
      <c r="J14" s="4" t="s">
        <v>31</v>
      </c>
      <c r="K14" s="4"/>
      <c r="L14" s="4"/>
      <c r="M14" s="4"/>
      <c r="N14" s="4">
        <v>92</v>
      </c>
      <c r="O14" s="3" t="s">
        <v>16</v>
      </c>
      <c r="P14" s="3" t="s">
        <v>122</v>
      </c>
      <c r="Q14" s="3" t="s">
        <v>17</v>
      </c>
      <c r="R14" s="3" t="s">
        <v>18</v>
      </c>
    </row>
    <row r="15" spans="1:18" x14ac:dyDescent="0.3">
      <c r="A15" s="1" t="s">
        <v>52</v>
      </c>
      <c r="B15" s="1" t="str">
        <f t="shared" si="0"/>
        <v>O=C(\C=C\C=C\C1=CC=CC=C1)C1=CC=CC=C1.SCC1=CC=CC=C1</v>
      </c>
      <c r="C15" s="1" t="str">
        <f t="shared" si="1"/>
        <v>O=C(\C=C\C=C\C1=CC=CC=C1)C1=CC=CC=C1</v>
      </c>
      <c r="D15" s="1" t="str">
        <f t="shared" si="2"/>
        <v>SCC1=CC=CC=C1</v>
      </c>
      <c r="E15" s="1" t="s">
        <v>53</v>
      </c>
      <c r="F15" s="1" t="s">
        <v>20</v>
      </c>
      <c r="G15" s="1" t="s">
        <v>13</v>
      </c>
      <c r="H15" s="1" t="s">
        <v>14</v>
      </c>
      <c r="I15" s="2">
        <v>91</v>
      </c>
      <c r="J15" s="2" t="s">
        <v>54</v>
      </c>
      <c r="K15" s="2"/>
      <c r="L15" s="2"/>
      <c r="M15" s="2"/>
      <c r="N15" s="2">
        <v>96</v>
      </c>
      <c r="O15" s="1" t="s">
        <v>16</v>
      </c>
      <c r="P15" s="1" t="s">
        <v>122</v>
      </c>
      <c r="Q15" s="1" t="s">
        <v>17</v>
      </c>
      <c r="R15" s="1" t="s">
        <v>18</v>
      </c>
    </row>
    <row r="16" spans="1:18" x14ac:dyDescent="0.3">
      <c r="A16" s="1" t="s">
        <v>56</v>
      </c>
      <c r="B16" s="1" t="str">
        <f t="shared" si="0"/>
        <v>CC(C)(C)C1=CC=C(CS)C=C1.O=C(\C=C\C1=CC=CC=C1)C1=CC=CC=C1</v>
      </c>
      <c r="C16" s="1" t="str">
        <f t="shared" si="1"/>
        <v>CC(C)(C)C1=CC=C(CS)C=C1</v>
      </c>
      <c r="D16" s="1" t="str">
        <f t="shared" si="2"/>
        <v>O=C(\C=C\C1=CC=CC=C1)C1=CC=CC=C1</v>
      </c>
      <c r="E16" s="1" t="s">
        <v>57</v>
      </c>
      <c r="F16" s="1" t="s">
        <v>20</v>
      </c>
      <c r="G16" s="1" t="s">
        <v>13</v>
      </c>
      <c r="H16" s="1" t="s">
        <v>14</v>
      </c>
      <c r="I16" s="2">
        <v>94</v>
      </c>
      <c r="J16" s="2" t="s">
        <v>58</v>
      </c>
      <c r="K16" s="2"/>
      <c r="L16" s="2"/>
      <c r="M16" s="2"/>
      <c r="N16" s="2">
        <v>99</v>
      </c>
      <c r="O16" s="1" t="s">
        <v>16</v>
      </c>
      <c r="P16" s="1" t="s">
        <v>122</v>
      </c>
      <c r="Q16" s="1" t="s">
        <v>17</v>
      </c>
      <c r="R16" s="1" t="s">
        <v>18</v>
      </c>
    </row>
    <row r="17" spans="1:18" x14ac:dyDescent="0.3">
      <c r="A17" s="1" t="s">
        <v>59</v>
      </c>
      <c r="B17" s="1" t="str">
        <f t="shared" si="0"/>
        <v>SCC1=CC=CC=C1Cl.O=C(\C=C\C1=CC=CC=C1)C1=CC=CC=C1</v>
      </c>
      <c r="C17" s="1" t="str">
        <f t="shared" si="1"/>
        <v>SCC1=CC=CC=C1Cl</v>
      </c>
      <c r="D17" s="1" t="str">
        <f t="shared" si="2"/>
        <v>O=C(\C=C\C1=CC=CC=C1)C1=CC=CC=C1</v>
      </c>
      <c r="E17" s="1" t="s">
        <v>60</v>
      </c>
      <c r="F17" s="1" t="s">
        <v>20</v>
      </c>
      <c r="G17" s="1" t="s">
        <v>13</v>
      </c>
      <c r="H17" s="1" t="s">
        <v>14</v>
      </c>
      <c r="I17" s="2">
        <v>96</v>
      </c>
      <c r="J17" s="2" t="s">
        <v>31</v>
      </c>
      <c r="K17" s="2"/>
      <c r="L17" s="2"/>
      <c r="M17" s="2"/>
      <c r="N17" s="2">
        <v>92</v>
      </c>
      <c r="O17" s="1" t="s">
        <v>16</v>
      </c>
      <c r="P17" s="1" t="s">
        <v>122</v>
      </c>
      <c r="Q17" s="1" t="s">
        <v>17</v>
      </c>
      <c r="R17" s="1" t="s">
        <v>18</v>
      </c>
    </row>
    <row r="18" spans="1:18" x14ac:dyDescent="0.3">
      <c r="A18" s="1" t="s">
        <v>61</v>
      </c>
      <c r="B18" s="1" t="str">
        <f t="shared" si="0"/>
        <v>SCC1=C(C=CC=C1)N(=O)=O.O=C(\C=C\C1=CC=CC=C1)C1=CC=CC=C1</v>
      </c>
      <c r="C18" s="1" t="str">
        <f t="shared" si="1"/>
        <v>SCC1=C(C=CC=C1)N(=O)=O</v>
      </c>
      <c r="D18" s="1" t="str">
        <f t="shared" si="2"/>
        <v>O=C(\C=C\C1=CC=CC=C1)C1=CC=CC=C1</v>
      </c>
      <c r="E18" s="1" t="s">
        <v>62</v>
      </c>
      <c r="F18" s="1" t="s">
        <v>20</v>
      </c>
      <c r="G18" s="1" t="s">
        <v>13</v>
      </c>
      <c r="H18" s="1" t="s">
        <v>14</v>
      </c>
      <c r="I18" s="2">
        <v>94</v>
      </c>
      <c r="J18" s="2" t="s">
        <v>43</v>
      </c>
      <c r="K18" s="2"/>
      <c r="L18" s="2"/>
      <c r="M18" s="2"/>
      <c r="N18" s="2">
        <v>93</v>
      </c>
      <c r="O18" s="1" t="s">
        <v>16</v>
      </c>
      <c r="P18" s="1" t="s">
        <v>122</v>
      </c>
      <c r="Q18" s="1" t="s">
        <v>17</v>
      </c>
      <c r="R18" s="1" t="s">
        <v>18</v>
      </c>
    </row>
    <row r="19" spans="1:18" x14ac:dyDescent="0.3">
      <c r="A19" s="1" t="s">
        <v>63</v>
      </c>
      <c r="B19" s="1" t="str">
        <f t="shared" si="0"/>
        <v>SCC1=CC=C(Cl)C=C1.O=C(\C=C\C1=CC=CC=C1)C1=CC=CC=C1</v>
      </c>
      <c r="C19" s="1" t="str">
        <f t="shared" si="1"/>
        <v>SCC1=CC=C(Cl)C=C1</v>
      </c>
      <c r="D19" s="1" t="str">
        <f t="shared" si="2"/>
        <v>O=C(\C=C\C1=CC=CC=C1)C1=CC=CC=C1</v>
      </c>
      <c r="E19" s="1" t="s">
        <v>64</v>
      </c>
      <c r="F19" s="1" t="s">
        <v>20</v>
      </c>
      <c r="G19" s="1" t="s">
        <v>13</v>
      </c>
      <c r="H19" s="1" t="s">
        <v>14</v>
      </c>
      <c r="I19" s="2">
        <v>99</v>
      </c>
      <c r="J19" s="2" t="s">
        <v>37</v>
      </c>
      <c r="K19" s="2"/>
      <c r="L19" s="2"/>
      <c r="M19" s="2"/>
      <c r="N19" s="2">
        <v>97</v>
      </c>
      <c r="O19" s="1" t="s">
        <v>16</v>
      </c>
      <c r="P19" s="1" t="s">
        <v>122</v>
      </c>
      <c r="Q19" s="1" t="s">
        <v>17</v>
      </c>
      <c r="R19" s="1" t="s">
        <v>18</v>
      </c>
    </row>
    <row r="20" spans="1:18" x14ac:dyDescent="0.3">
      <c r="A20" s="1" t="s">
        <v>65</v>
      </c>
      <c r="B20" s="1" t="str">
        <f t="shared" si="0"/>
        <v>FC(F)(F)C1=CC=C(CS)C=C1.O=C(\C=C\C1=CC=CC=C1)C1=CC=CC=C1</v>
      </c>
      <c r="C20" s="1" t="str">
        <f t="shared" si="1"/>
        <v>FC(F)(F)C1=CC=C(CS)C=C1</v>
      </c>
      <c r="D20" s="1" t="str">
        <f t="shared" si="2"/>
        <v>O=C(\C=C\C1=CC=CC=C1)C1=CC=CC=C1</v>
      </c>
      <c r="E20" s="1" t="s">
        <v>66</v>
      </c>
      <c r="F20" s="1" t="s">
        <v>20</v>
      </c>
      <c r="G20" s="1" t="s">
        <v>13</v>
      </c>
      <c r="H20" s="1" t="s">
        <v>14</v>
      </c>
      <c r="I20" s="2">
        <v>97</v>
      </c>
      <c r="J20" s="2" t="s">
        <v>67</v>
      </c>
      <c r="K20" s="2"/>
      <c r="L20" s="2"/>
      <c r="M20" s="2"/>
      <c r="N20" s="2">
        <v>90</v>
      </c>
      <c r="O20" s="1" t="s">
        <v>16</v>
      </c>
      <c r="P20" s="1" t="s">
        <v>122</v>
      </c>
      <c r="Q20" s="1" t="s">
        <v>17</v>
      </c>
      <c r="R20" s="1" t="s">
        <v>18</v>
      </c>
    </row>
    <row r="21" spans="1:18" x14ac:dyDescent="0.3">
      <c r="A21" s="1" t="s">
        <v>68</v>
      </c>
      <c r="B21" s="1" t="str">
        <f t="shared" si="0"/>
        <v>SCC1=CC=CO1.O=C(\C=C\C1=CC=CC=C1)C1=CC=CC=C1</v>
      </c>
      <c r="C21" s="1" t="str">
        <f t="shared" si="1"/>
        <v>SCC1=CC=CO1</v>
      </c>
      <c r="D21" s="1" t="str">
        <f t="shared" si="2"/>
        <v>O=C(\C=C\C1=CC=CC=C1)C1=CC=CC=C1</v>
      </c>
      <c r="E21" s="1" t="s">
        <v>69</v>
      </c>
      <c r="F21" s="1" t="s">
        <v>20</v>
      </c>
      <c r="G21" s="1" t="s">
        <v>13</v>
      </c>
      <c r="H21" s="1" t="s">
        <v>14</v>
      </c>
      <c r="I21" s="2">
        <v>95</v>
      </c>
      <c r="J21" s="2" t="s">
        <v>55</v>
      </c>
      <c r="K21" s="2"/>
      <c r="L21" s="2"/>
      <c r="M21" s="2"/>
      <c r="N21" s="2">
        <v>98</v>
      </c>
      <c r="O21" s="1" t="s">
        <v>16</v>
      </c>
      <c r="P21" s="1" t="s">
        <v>122</v>
      </c>
      <c r="Q21" s="1" t="s">
        <v>17</v>
      </c>
      <c r="R21" s="1" t="s">
        <v>18</v>
      </c>
    </row>
    <row r="22" spans="1:18" x14ac:dyDescent="0.3">
      <c r="A22" s="1" t="s">
        <v>70</v>
      </c>
      <c r="B22" s="1" t="str">
        <f t="shared" si="0"/>
        <v>O=C(\C=C\C1=CC=CC=C1)C1=CC=CC=C1.CCS</v>
      </c>
      <c r="C22" s="1" t="str">
        <f t="shared" si="1"/>
        <v>O=C(\C=C\C1=CC=CC=C1)C1=CC=CC=C1</v>
      </c>
      <c r="D22" s="1" t="str">
        <f t="shared" si="2"/>
        <v>CCS</v>
      </c>
      <c r="E22" s="1" t="s">
        <v>71</v>
      </c>
      <c r="F22" s="1" t="s">
        <v>20</v>
      </c>
      <c r="G22" s="1" t="s">
        <v>13</v>
      </c>
      <c r="H22" s="1" t="s">
        <v>14</v>
      </c>
      <c r="I22" s="2">
        <v>87</v>
      </c>
      <c r="J22" s="2" t="s">
        <v>40</v>
      </c>
      <c r="K22" s="2"/>
      <c r="L22" s="2"/>
      <c r="M22" s="2"/>
      <c r="N22" s="2">
        <v>91</v>
      </c>
      <c r="O22" s="1" t="s">
        <v>16</v>
      </c>
      <c r="P22" s="1" t="s">
        <v>122</v>
      </c>
      <c r="Q22" s="1" t="s">
        <v>17</v>
      </c>
      <c r="R22" s="1" t="s">
        <v>18</v>
      </c>
    </row>
    <row r="23" spans="1:18" x14ac:dyDescent="0.3">
      <c r="A23" s="1" t="s">
        <v>72</v>
      </c>
      <c r="B23" s="1" t="str">
        <f t="shared" si="0"/>
        <v>SCC=C.O=C(\C=C\C1=CC=CC=C1)C1=CC=CC=C1</v>
      </c>
      <c r="C23" s="1" t="str">
        <f t="shared" si="1"/>
        <v>SCC=C</v>
      </c>
      <c r="D23" s="1" t="str">
        <f t="shared" si="2"/>
        <v>O=C(\C=C\C1=CC=CC=C1)C1=CC=CC=C1</v>
      </c>
      <c r="E23" s="1" t="s">
        <v>73</v>
      </c>
      <c r="F23" s="1" t="s">
        <v>20</v>
      </c>
      <c r="G23" s="1" t="s">
        <v>13</v>
      </c>
      <c r="H23" s="1" t="s">
        <v>14</v>
      </c>
      <c r="I23" s="2">
        <v>93</v>
      </c>
      <c r="J23" s="2" t="s">
        <v>31</v>
      </c>
      <c r="K23" s="2"/>
      <c r="L23" s="2"/>
      <c r="M23" s="2"/>
      <c r="N23" s="2">
        <v>92</v>
      </c>
      <c r="O23" s="1" t="s">
        <v>16</v>
      </c>
      <c r="P23" s="1" t="s">
        <v>122</v>
      </c>
      <c r="Q23" s="1" t="s">
        <v>17</v>
      </c>
      <c r="R23" s="1" t="s">
        <v>18</v>
      </c>
    </row>
    <row r="24" spans="1:18" x14ac:dyDescent="0.3">
      <c r="A24" s="1" t="s">
        <v>74</v>
      </c>
      <c r="B24" s="1" t="str">
        <f t="shared" si="0"/>
        <v>SC1CCCCC1.O=C(\C=C\C1=CC=CC=C1)C1=CC=CC=C1</v>
      </c>
      <c r="C24" s="1" t="str">
        <f t="shared" si="1"/>
        <v>SC1CCCCC1</v>
      </c>
      <c r="D24" s="1" t="str">
        <f t="shared" si="2"/>
        <v>O=C(\C=C\C1=CC=CC=C1)C1=CC=CC=C1</v>
      </c>
      <c r="E24" s="1" t="s">
        <v>75</v>
      </c>
      <c r="F24" s="1" t="s">
        <v>20</v>
      </c>
      <c r="G24" s="1" t="s">
        <v>13</v>
      </c>
      <c r="H24" s="1" t="s">
        <v>14</v>
      </c>
      <c r="I24" s="2">
        <v>90</v>
      </c>
      <c r="J24" s="2" t="s">
        <v>49</v>
      </c>
      <c r="K24" s="2"/>
      <c r="L24" s="2"/>
      <c r="M24" s="2"/>
      <c r="N24" s="2">
        <v>94</v>
      </c>
      <c r="O24" s="1" t="s">
        <v>16</v>
      </c>
      <c r="P24" s="1" t="s">
        <v>122</v>
      </c>
      <c r="Q24" s="1" t="s">
        <v>17</v>
      </c>
      <c r="R24" s="1" t="s">
        <v>18</v>
      </c>
    </row>
    <row r="25" spans="1:18" x14ac:dyDescent="0.3">
      <c r="A25" s="1" t="s">
        <v>76</v>
      </c>
      <c r="B25" s="1" t="str">
        <f t="shared" si="0"/>
        <v>COC(CCS)=O.O=C(C1=CC=CC=C1)/C=C/C2=CC=CC=C2</v>
      </c>
      <c r="C25" s="1" t="str">
        <f t="shared" si="1"/>
        <v>COC(CCS)=O</v>
      </c>
      <c r="D25" s="1" t="str">
        <f t="shared" si="2"/>
        <v>O=C(C1=CC=CC=C1)/C=C/C2=CC=CC=C2</v>
      </c>
      <c r="E25" s="1" t="s">
        <v>127</v>
      </c>
      <c r="F25" s="1" t="s">
        <v>20</v>
      </c>
      <c r="G25" s="1" t="s">
        <v>13</v>
      </c>
      <c r="H25" s="1" t="s">
        <v>14</v>
      </c>
      <c r="I25" s="2">
        <v>93</v>
      </c>
      <c r="J25" s="2" t="s">
        <v>77</v>
      </c>
      <c r="K25" s="2"/>
      <c r="L25" s="2"/>
      <c r="M25" s="2"/>
      <c r="N25" s="2">
        <v>88</v>
      </c>
      <c r="O25" s="1" t="s">
        <v>16</v>
      </c>
      <c r="P25" s="1" t="s">
        <v>122</v>
      </c>
      <c r="Q25" s="1" t="s">
        <v>17</v>
      </c>
      <c r="R25" s="1" t="s">
        <v>18</v>
      </c>
    </row>
    <row r="26" spans="1:18" x14ac:dyDescent="0.3">
      <c r="A26" s="1" t="s">
        <v>78</v>
      </c>
      <c r="B26" s="1" t="str">
        <f t="shared" si="0"/>
        <v>COC(CC1(CC1)CS)=O.O=C(C2=CC=CC=C2)/C=C/C3=CC=CC=C3</v>
      </c>
      <c r="C26" s="1" t="str">
        <f t="shared" si="1"/>
        <v>COC(CC1(CC1)CS)=O</v>
      </c>
      <c r="D26" s="1" t="str">
        <f t="shared" si="2"/>
        <v>O=C(C2=CC=CC=C2)/C=C/C3=CC=CC=C3</v>
      </c>
      <c r="E26" s="1" t="s">
        <v>128</v>
      </c>
      <c r="F26" s="1" t="s">
        <v>20</v>
      </c>
      <c r="G26" s="1" t="s">
        <v>13</v>
      </c>
      <c r="H26" s="1" t="s">
        <v>14</v>
      </c>
      <c r="I26" s="2">
        <v>88</v>
      </c>
      <c r="J26" s="2" t="s">
        <v>79</v>
      </c>
      <c r="K26" s="2"/>
      <c r="L26" s="2"/>
      <c r="M26" s="2"/>
      <c r="N26" s="2">
        <v>97</v>
      </c>
      <c r="O26" s="1" t="s">
        <v>16</v>
      </c>
      <c r="P26" s="1" t="s">
        <v>122</v>
      </c>
      <c r="Q26" s="1" t="s">
        <v>17</v>
      </c>
      <c r="R26" s="1" t="s">
        <v>18</v>
      </c>
    </row>
    <row r="27" spans="1:18" x14ac:dyDescent="0.3">
      <c r="A27" s="1" t="s">
        <v>80</v>
      </c>
      <c r="B27" s="1" t="str">
        <f t="shared" si="0"/>
        <v>CC(C)(OC(NCCS)=O)C.O=C(C1=CC=CC=C1)/C=C/C2=CC=CC=C2</v>
      </c>
      <c r="C27" s="1" t="str">
        <f t="shared" si="1"/>
        <v>CC(C)(OC(NCCS)=O)C</v>
      </c>
      <c r="D27" s="1" t="str">
        <f t="shared" si="2"/>
        <v>O=C(C1=CC=CC=C1)/C=C/C2=CC=CC=C2</v>
      </c>
      <c r="E27" s="1" t="s">
        <v>129</v>
      </c>
      <c r="F27" s="1" t="s">
        <v>20</v>
      </c>
      <c r="G27" s="1" t="s">
        <v>13</v>
      </c>
      <c r="H27" s="1" t="s">
        <v>14</v>
      </c>
      <c r="I27" s="2">
        <v>92</v>
      </c>
      <c r="J27" s="2" t="s">
        <v>81</v>
      </c>
      <c r="K27" s="2"/>
      <c r="L27" s="2"/>
      <c r="M27" s="2"/>
      <c r="N27" s="2">
        <v>32</v>
      </c>
      <c r="O27" s="1" t="s">
        <v>16</v>
      </c>
      <c r="P27" s="1" t="s">
        <v>122</v>
      </c>
      <c r="Q27" s="1" t="s">
        <v>17</v>
      </c>
      <c r="R27" s="1" t="s">
        <v>18</v>
      </c>
    </row>
    <row r="28" spans="1:18" x14ac:dyDescent="0.3">
      <c r="A28" s="1" t="s">
        <v>82</v>
      </c>
      <c r="B28" s="1" t="str">
        <f t="shared" si="0"/>
        <v>O=C(C1=CC=CC=C1)/C=C/C2=CC=CC=C2.OCCS</v>
      </c>
      <c r="C28" s="1" t="str">
        <f t="shared" si="1"/>
        <v>O=C(C1=CC=CC=C1)/C=C/C2=CC=CC=C2</v>
      </c>
      <c r="D28" s="1" t="str">
        <f t="shared" si="2"/>
        <v>OCCS</v>
      </c>
      <c r="E28" s="1" t="s">
        <v>130</v>
      </c>
      <c r="F28" s="1" t="s">
        <v>20</v>
      </c>
      <c r="G28" s="1" t="s">
        <v>13</v>
      </c>
      <c r="H28" s="1" t="s">
        <v>14</v>
      </c>
      <c r="I28" s="2">
        <v>83</v>
      </c>
      <c r="J28" s="2" t="s">
        <v>83</v>
      </c>
      <c r="K28" s="2"/>
      <c r="L28" s="2"/>
      <c r="M28" s="2"/>
      <c r="N28" s="2">
        <v>12</v>
      </c>
      <c r="O28" s="1" t="s">
        <v>16</v>
      </c>
      <c r="P28" s="1" t="s">
        <v>122</v>
      </c>
      <c r="Q28" s="1" t="s">
        <v>17</v>
      </c>
      <c r="R28" s="1" t="s">
        <v>18</v>
      </c>
    </row>
    <row r="29" spans="1:18" x14ac:dyDescent="0.3">
      <c r="A29" s="1" t="s">
        <v>84</v>
      </c>
      <c r="B29" s="1" t="str">
        <f t="shared" si="0"/>
        <v>O=C(C1=CC=CC=C1)C=CC2=CC=C(N(=O)=O)C=C2.SCC3=CC=CC=C3</v>
      </c>
      <c r="C29" s="1" t="str">
        <f t="shared" si="1"/>
        <v>O=C(C1=CC=CC=C1)C=CC2=CC=C(N(=O)=O)C=C2</v>
      </c>
      <c r="D29" s="1" t="str">
        <f t="shared" si="2"/>
        <v>SCC3=CC=CC=C3</v>
      </c>
      <c r="E29" s="1" t="s">
        <v>131</v>
      </c>
      <c r="F29" s="1" t="s">
        <v>48</v>
      </c>
      <c r="G29" s="1" t="s">
        <v>13</v>
      </c>
      <c r="H29" s="1" t="s">
        <v>14</v>
      </c>
      <c r="I29" s="2">
        <v>82</v>
      </c>
      <c r="J29" s="2" t="s">
        <v>85</v>
      </c>
      <c r="K29" s="2"/>
      <c r="L29" s="2"/>
      <c r="M29" s="2"/>
      <c r="N29" s="2">
        <v>25</v>
      </c>
      <c r="O29" s="1" t="s">
        <v>16</v>
      </c>
      <c r="P29" s="1" t="s">
        <v>122</v>
      </c>
      <c r="Q29" s="1" t="s">
        <v>17</v>
      </c>
      <c r="R29" s="1" t="s">
        <v>18</v>
      </c>
    </row>
    <row r="30" spans="1:18" x14ac:dyDescent="0.3">
      <c r="A30" s="1" t="s">
        <v>86</v>
      </c>
      <c r="B30" s="1" t="str">
        <f t="shared" si="0"/>
        <v>CC1=CC=CC=C1C=CC(C2=CC=CC=C2)=O.SCC3=CC=CC=C3</v>
      </c>
      <c r="C30" s="1" t="str">
        <f t="shared" si="1"/>
        <v>CC1=CC=CC=C1C=CC(C2=CC=CC=C2)=O</v>
      </c>
      <c r="D30" s="1" t="str">
        <f t="shared" si="2"/>
        <v>SCC3=CC=CC=C3</v>
      </c>
      <c r="E30" s="1" t="s">
        <v>132</v>
      </c>
      <c r="F30" s="1" t="s">
        <v>20</v>
      </c>
      <c r="G30" s="1" t="s">
        <v>13</v>
      </c>
      <c r="H30" s="1" t="s">
        <v>14</v>
      </c>
      <c r="I30" s="2">
        <v>96</v>
      </c>
      <c r="J30" s="2" t="s">
        <v>87</v>
      </c>
      <c r="K30" s="2"/>
      <c r="L30" s="2"/>
      <c r="M30" s="2"/>
      <c r="N30" s="2">
        <v>72</v>
      </c>
      <c r="O30" s="1" t="s">
        <v>16</v>
      </c>
      <c r="P30" s="1" t="s">
        <v>122</v>
      </c>
      <c r="Q30" s="1" t="s">
        <v>17</v>
      </c>
      <c r="R30" s="1" t="s">
        <v>18</v>
      </c>
    </row>
    <row r="31" spans="1:18" x14ac:dyDescent="0.3">
      <c r="A31" s="1" t="s">
        <v>88</v>
      </c>
      <c r="B31" s="1" t="str">
        <f t="shared" si="0"/>
        <v>COC1=CC=CC=C1C=CC(C2=CC=CC=C2)=O.SCC3=CC=CC=C3</v>
      </c>
      <c r="C31" s="1" t="str">
        <f t="shared" si="1"/>
        <v>COC1=CC=CC=C1C=CC(C2=CC=CC=C2)=O</v>
      </c>
      <c r="D31" s="1" t="str">
        <f t="shared" si="2"/>
        <v>SCC3=CC=CC=C3</v>
      </c>
      <c r="E31" s="1" t="s">
        <v>133</v>
      </c>
      <c r="F31" s="1" t="s">
        <v>20</v>
      </c>
      <c r="G31" s="1" t="s">
        <v>13</v>
      </c>
      <c r="H31" s="1" t="s">
        <v>14</v>
      </c>
      <c r="I31" s="2">
        <v>93</v>
      </c>
      <c r="J31" s="2" t="s">
        <v>89</v>
      </c>
      <c r="K31" s="2"/>
      <c r="L31" s="2"/>
      <c r="M31" s="2"/>
      <c r="N31" s="2">
        <v>67</v>
      </c>
      <c r="O31" s="1" t="s">
        <v>16</v>
      </c>
      <c r="P31" s="1" t="s">
        <v>122</v>
      </c>
      <c r="Q31" s="1" t="s">
        <v>17</v>
      </c>
      <c r="R31" s="1" t="s">
        <v>18</v>
      </c>
    </row>
    <row r="32" spans="1:18" x14ac:dyDescent="0.3">
      <c r="A32" s="1" t="s">
        <v>90</v>
      </c>
      <c r="B32" s="1" t="str">
        <f t="shared" si="0"/>
        <v>ClC1=CC=CC=C1C=CC(C2=CC=CC=C2)=O.SCC3=CC=CC=C3</v>
      </c>
      <c r="C32" s="1" t="str">
        <f t="shared" si="1"/>
        <v>ClC1=CC=CC=C1C=CC(C2=CC=CC=C2)=O</v>
      </c>
      <c r="D32" s="1" t="str">
        <f t="shared" si="2"/>
        <v>SCC3=CC=CC=C3</v>
      </c>
      <c r="E32" s="1" t="s">
        <v>134</v>
      </c>
      <c r="F32" s="1" t="s">
        <v>20</v>
      </c>
      <c r="G32" s="1" t="s">
        <v>13</v>
      </c>
      <c r="H32" s="1" t="s">
        <v>14</v>
      </c>
      <c r="I32" s="2">
        <v>96</v>
      </c>
      <c r="J32" s="2" t="s">
        <v>79</v>
      </c>
      <c r="K32" s="2"/>
      <c r="L32" s="2"/>
      <c r="M32" s="2"/>
      <c r="N32" s="2">
        <v>87</v>
      </c>
      <c r="O32" s="1" t="s">
        <v>16</v>
      </c>
      <c r="P32" s="1" t="s">
        <v>122</v>
      </c>
      <c r="Q32" s="1" t="s">
        <v>17</v>
      </c>
      <c r="R32" s="1" t="s">
        <v>18</v>
      </c>
    </row>
    <row r="33" spans="1:18" x14ac:dyDescent="0.3">
      <c r="A33" s="1" t="s">
        <v>91</v>
      </c>
      <c r="B33" s="1" t="str">
        <f t="shared" si="0"/>
        <v>O=C(C1=CC=CC=C1)C=CC2=CC=CS2.SCC3=CC=CC=C3</v>
      </c>
      <c r="C33" s="1" t="str">
        <f t="shared" si="1"/>
        <v>O=C(C1=CC=CC=C1)C=CC2=CC=CS2</v>
      </c>
      <c r="D33" s="1" t="str">
        <f t="shared" si="2"/>
        <v>SCC3=CC=CC=C3</v>
      </c>
      <c r="E33" s="1" t="s">
        <v>135</v>
      </c>
      <c r="F33" s="1" t="s">
        <v>20</v>
      </c>
      <c r="G33" s="1" t="s">
        <v>13</v>
      </c>
      <c r="H33" s="1" t="s">
        <v>14</v>
      </c>
      <c r="I33" s="2">
        <v>92</v>
      </c>
      <c r="J33" s="2" t="s">
        <v>92</v>
      </c>
      <c r="K33" s="2"/>
      <c r="L33" s="2"/>
      <c r="M33" s="2"/>
      <c r="N33" s="2">
        <v>85</v>
      </c>
      <c r="O33" s="1" t="s">
        <v>16</v>
      </c>
      <c r="P33" s="1" t="s">
        <v>122</v>
      </c>
      <c r="Q33" s="1" t="s">
        <v>17</v>
      </c>
      <c r="R33" s="1" t="s">
        <v>18</v>
      </c>
    </row>
    <row r="34" spans="1:18" x14ac:dyDescent="0.3">
      <c r="A34" s="1" t="s">
        <v>93</v>
      </c>
      <c r="B34" s="1" t="str">
        <f t="shared" si="0"/>
        <v>O=C(C1=CC=CC=C1)C=CC2=CC3=CC=CC=C3S2.SCC4=CC=CC=C4</v>
      </c>
      <c r="C34" s="1" t="str">
        <f t="shared" si="1"/>
        <v>O=C(C1=CC=CC=C1)C=CC2=CC3=CC=CC=C3S2</v>
      </c>
      <c r="D34" s="1" t="str">
        <f t="shared" si="2"/>
        <v>SCC4=CC=CC=C4</v>
      </c>
      <c r="E34" s="1" t="s">
        <v>136</v>
      </c>
      <c r="F34" s="1" t="s">
        <v>20</v>
      </c>
      <c r="G34" s="1" t="s">
        <v>13</v>
      </c>
      <c r="H34" s="1" t="s">
        <v>14</v>
      </c>
      <c r="I34" s="2">
        <v>99</v>
      </c>
      <c r="J34" s="2" t="s">
        <v>94</v>
      </c>
      <c r="K34" s="2"/>
      <c r="L34" s="2"/>
      <c r="M34" s="2"/>
      <c r="N34" s="2">
        <v>77</v>
      </c>
      <c r="O34" s="1" t="s">
        <v>16</v>
      </c>
      <c r="P34" s="1" t="s">
        <v>122</v>
      </c>
      <c r="Q34" s="1" t="s">
        <v>17</v>
      </c>
      <c r="R34" s="1" t="s">
        <v>18</v>
      </c>
    </row>
    <row r="35" spans="1:18" x14ac:dyDescent="0.3">
      <c r="A35" s="1" t="s">
        <v>95</v>
      </c>
      <c r="B35" s="1" t="str">
        <f t="shared" si="0"/>
        <v>C/C=C/C=C/C(C1=CC=CC=C1)=O.SCC2=CC=CC=C2</v>
      </c>
      <c r="C35" s="1" t="str">
        <f t="shared" si="1"/>
        <v>C/C=C/C=C/C(C1=CC=CC=C1)=O</v>
      </c>
      <c r="D35" s="1" t="str">
        <f t="shared" si="2"/>
        <v>SCC2=CC=CC=C2</v>
      </c>
      <c r="E35" s="1" t="s">
        <v>137</v>
      </c>
      <c r="F35" s="1" t="s">
        <v>20</v>
      </c>
      <c r="G35" s="1" t="s">
        <v>13</v>
      </c>
      <c r="H35" s="1" t="s">
        <v>14</v>
      </c>
      <c r="I35" s="2">
        <v>89</v>
      </c>
      <c r="J35" s="2" t="s">
        <v>96</v>
      </c>
      <c r="K35" s="2"/>
      <c r="L35" s="2"/>
      <c r="M35" s="2"/>
      <c r="N35" s="2">
        <v>70</v>
      </c>
      <c r="O35" s="1" t="s">
        <v>16</v>
      </c>
      <c r="P35" s="1" t="s">
        <v>122</v>
      </c>
      <c r="Q35" s="1" t="s">
        <v>17</v>
      </c>
      <c r="R35" s="1" t="s">
        <v>18</v>
      </c>
    </row>
    <row r="36" spans="1:18" x14ac:dyDescent="0.3">
      <c r="A36" s="1" t="s">
        <v>97</v>
      </c>
      <c r="B36" s="1" t="str">
        <f t="shared" si="0"/>
        <v>CCCCC=CC(C1=CC=CC=C1)=O.SCC2=CC=CC=C2</v>
      </c>
      <c r="C36" s="1" t="str">
        <f t="shared" si="1"/>
        <v>CCCCC=CC(C1=CC=CC=C1)=O</v>
      </c>
      <c r="D36" s="1" t="str">
        <f t="shared" si="2"/>
        <v>SCC2=CC=CC=C2</v>
      </c>
      <c r="E36" s="1" t="s">
        <v>138</v>
      </c>
      <c r="F36" s="1" t="s">
        <v>20</v>
      </c>
      <c r="G36" s="1" t="s">
        <v>13</v>
      </c>
      <c r="H36" s="1" t="s">
        <v>14</v>
      </c>
      <c r="I36" s="2">
        <v>97</v>
      </c>
      <c r="J36" s="2" t="s">
        <v>98</v>
      </c>
      <c r="K36" s="2"/>
      <c r="L36" s="2"/>
      <c r="M36" s="2"/>
      <c r="N36" s="2">
        <v>48</v>
      </c>
      <c r="O36" s="1" t="s">
        <v>16</v>
      </c>
      <c r="P36" s="1" t="s">
        <v>122</v>
      </c>
      <c r="Q36" s="1" t="s">
        <v>17</v>
      </c>
      <c r="R36" s="1" t="s">
        <v>18</v>
      </c>
    </row>
    <row r="37" spans="1:18" x14ac:dyDescent="0.3">
      <c r="A37" s="1" t="s">
        <v>99</v>
      </c>
      <c r="B37" s="1" t="str">
        <f t="shared" si="0"/>
        <v>O=C(C1=CC=CC=C1)C=CC2CCCCC2.SCC3=CC=CC=C3</v>
      </c>
      <c r="C37" s="1" t="str">
        <f t="shared" si="1"/>
        <v>O=C(C1=CC=CC=C1)C=CC2CCCCC2</v>
      </c>
      <c r="D37" s="1" t="str">
        <f t="shared" si="2"/>
        <v>SCC3=CC=CC=C3</v>
      </c>
      <c r="E37" s="1" t="s">
        <v>139</v>
      </c>
      <c r="F37" s="1" t="s">
        <v>20</v>
      </c>
      <c r="G37" s="1" t="s">
        <v>13</v>
      </c>
      <c r="H37" s="1" t="s">
        <v>14</v>
      </c>
      <c r="I37" s="2">
        <v>98</v>
      </c>
      <c r="J37" s="2" t="s">
        <v>100</v>
      </c>
      <c r="K37" s="2"/>
      <c r="L37" s="2"/>
      <c r="M37" s="2"/>
      <c r="N37" s="2">
        <v>59</v>
      </c>
      <c r="O37" s="1" t="s">
        <v>16</v>
      </c>
      <c r="P37" s="1" t="s">
        <v>122</v>
      </c>
      <c r="Q37" s="1" t="s">
        <v>17</v>
      </c>
      <c r="R37" s="1" t="s">
        <v>18</v>
      </c>
    </row>
    <row r="38" spans="1:18" ht="15.6" customHeight="1" x14ac:dyDescent="0.3">
      <c r="A38" s="1" t="s">
        <v>101</v>
      </c>
      <c r="B38" s="1" t="str">
        <f t="shared" si="0"/>
        <v>CC(C)(C=CC(C1=CC=CC=C1)=O)C.SCC2=CC=CC=C2</v>
      </c>
      <c r="C38" s="1" t="str">
        <f t="shared" si="1"/>
        <v>CC(C)(C=CC(C1=CC=CC=C1)=O)C</v>
      </c>
      <c r="D38" s="1" t="str">
        <f t="shared" si="2"/>
        <v>SCC2=CC=CC=C2</v>
      </c>
      <c r="E38" s="1" t="s">
        <v>140</v>
      </c>
      <c r="F38" s="1" t="s">
        <v>20</v>
      </c>
      <c r="G38" s="1" t="s">
        <v>13</v>
      </c>
      <c r="H38" s="1" t="s">
        <v>14</v>
      </c>
      <c r="I38" s="2">
        <v>87</v>
      </c>
      <c r="J38" s="2" t="s">
        <v>94</v>
      </c>
      <c r="K38" s="2"/>
      <c r="L38" s="2"/>
      <c r="M38" s="2"/>
      <c r="N38" s="2">
        <v>77</v>
      </c>
      <c r="O38" s="1" t="s">
        <v>16</v>
      </c>
      <c r="P38" s="1" t="s">
        <v>122</v>
      </c>
      <c r="Q38" s="1" t="s">
        <v>17</v>
      </c>
      <c r="R38" s="1" t="s">
        <v>18</v>
      </c>
    </row>
    <row r="39" spans="1:18" x14ac:dyDescent="0.3">
      <c r="A39" s="1" t="s">
        <v>102</v>
      </c>
      <c r="B39" s="1" t="str">
        <f t="shared" si="0"/>
        <v>FC(F)(C=CC(C1=CC=CC=C1)=O)F.SCC2=CC=CC=C2</v>
      </c>
      <c r="C39" s="1" t="str">
        <f t="shared" si="1"/>
        <v>FC(F)(C=CC(C1=CC=CC=C1)=O)F</v>
      </c>
      <c r="D39" s="1" t="str">
        <f t="shared" si="2"/>
        <v>SCC2=CC=CC=C2</v>
      </c>
      <c r="E39" s="1" t="s">
        <v>141</v>
      </c>
      <c r="F39" s="1" t="s">
        <v>20</v>
      </c>
      <c r="G39" s="1" t="s">
        <v>13</v>
      </c>
      <c r="H39" s="1" t="s">
        <v>14</v>
      </c>
      <c r="I39" s="2">
        <v>89</v>
      </c>
      <c r="J39" s="2" t="s">
        <v>103</v>
      </c>
      <c r="K39" s="2"/>
      <c r="L39" s="2"/>
      <c r="M39" s="2"/>
      <c r="N39" s="2">
        <v>26</v>
      </c>
      <c r="O39" s="1" t="s">
        <v>16</v>
      </c>
      <c r="P39" s="1" t="s">
        <v>122</v>
      </c>
      <c r="Q39" s="1" t="s">
        <v>17</v>
      </c>
      <c r="R39" s="1" t="s">
        <v>18</v>
      </c>
    </row>
    <row r="40" spans="1:18" x14ac:dyDescent="0.3">
      <c r="A40" s="1" t="s">
        <v>104</v>
      </c>
      <c r="B40" s="1" t="str">
        <f t="shared" si="0"/>
        <v>CCOC(C=CC(C1=CC=CC=C1)=O)=O.SCC2=CC=CC=C2</v>
      </c>
      <c r="C40" s="1" t="str">
        <f t="shared" si="1"/>
        <v>CCOC(C=CC(C1=CC=CC=C1)=O)=O</v>
      </c>
      <c r="D40" s="1" t="str">
        <f t="shared" si="2"/>
        <v>SCC2=CC=CC=C2</v>
      </c>
      <c r="E40" s="1" t="s">
        <v>142</v>
      </c>
      <c r="F40" s="1" t="s">
        <v>20</v>
      </c>
      <c r="G40" s="1" t="s">
        <v>13</v>
      </c>
      <c r="H40" s="1" t="s">
        <v>14</v>
      </c>
      <c r="I40" s="2">
        <v>94</v>
      </c>
      <c r="J40" s="2" t="s">
        <v>105</v>
      </c>
      <c r="K40" s="2"/>
      <c r="L40" s="2"/>
      <c r="M40" s="2"/>
      <c r="N40" s="2">
        <v>15</v>
      </c>
      <c r="O40" s="1" t="s">
        <v>16</v>
      </c>
      <c r="P40" s="1" t="s">
        <v>122</v>
      </c>
      <c r="Q40" s="1" t="s">
        <v>17</v>
      </c>
      <c r="R40" s="1" t="s">
        <v>18</v>
      </c>
    </row>
    <row r="41" spans="1:18" x14ac:dyDescent="0.3">
      <c r="A41" s="1" t="s">
        <v>106</v>
      </c>
      <c r="B41" s="1" t="str">
        <f t="shared" si="0"/>
        <v>SCC1=CC=C(N(=O)=O)C=C1.O=C(C2=CC=CC=C2)/C=C/C3=CC=CC=C3</v>
      </c>
      <c r="C41" s="1" t="str">
        <f t="shared" si="1"/>
        <v>SCC1=CC=C(N(=O)=O)C=C1</v>
      </c>
      <c r="D41" s="1" t="str">
        <f t="shared" si="2"/>
        <v>O=C(C2=CC=CC=C2)/C=C/C3=CC=CC=C3</v>
      </c>
      <c r="E41" s="1" t="s">
        <v>143</v>
      </c>
      <c r="F41" s="1" t="s">
        <v>20</v>
      </c>
      <c r="G41" s="1" t="s">
        <v>13</v>
      </c>
      <c r="H41" s="1" t="s">
        <v>14</v>
      </c>
      <c r="I41" s="2">
        <v>76</v>
      </c>
      <c r="J41" s="2" t="s">
        <v>15</v>
      </c>
      <c r="K41" s="2"/>
      <c r="L41" s="2"/>
      <c r="M41" s="2"/>
      <c r="N41" s="2">
        <v>80</v>
      </c>
      <c r="O41" s="1" t="s">
        <v>16</v>
      </c>
      <c r="P41" s="1" t="s">
        <v>122</v>
      </c>
      <c r="Q41" s="1" t="s">
        <v>17</v>
      </c>
      <c r="R41" s="1" t="s">
        <v>18</v>
      </c>
    </row>
    <row r="42" spans="1:18" x14ac:dyDescent="0.3">
      <c r="A42" s="1" t="s">
        <v>107</v>
      </c>
      <c r="B42" s="1" t="str">
        <f t="shared" si="0"/>
        <v>O=C(C1=CC=CC=C1)/C=C/C2=CC=CC=C2.COC(C3=CC=CC=C3S)=O</v>
      </c>
      <c r="C42" s="1" t="str">
        <f t="shared" si="1"/>
        <v>O=C(C1=CC=CC=C1)/C=C/C2=CC=CC=C2</v>
      </c>
      <c r="D42" s="1" t="str">
        <f t="shared" si="2"/>
        <v>COC(C3=CC=CC=C3S)=O</v>
      </c>
      <c r="E42" s="1" t="s">
        <v>144</v>
      </c>
      <c r="F42" s="1" t="s">
        <v>108</v>
      </c>
      <c r="G42" s="1" t="s">
        <v>13</v>
      </c>
      <c r="H42" s="1" t="s">
        <v>14</v>
      </c>
      <c r="I42" s="2">
        <v>68</v>
      </c>
      <c r="J42" s="2" t="s">
        <v>109</v>
      </c>
      <c r="K42" s="2"/>
      <c r="L42" s="2"/>
      <c r="M42" s="2"/>
      <c r="N42" s="2">
        <v>3</v>
      </c>
      <c r="O42" s="1" t="s">
        <v>16</v>
      </c>
      <c r="P42" s="1" t="s">
        <v>122</v>
      </c>
      <c r="Q42" s="1" t="s">
        <v>17</v>
      </c>
      <c r="R42" s="1" t="s">
        <v>18</v>
      </c>
    </row>
    <row r="43" spans="1:18" x14ac:dyDescent="0.3">
      <c r="A43" s="1" t="s">
        <v>110</v>
      </c>
      <c r="B43" s="1" t="str">
        <f t="shared" si="0"/>
        <v>CC1=C(OC=C1)S.O=C(C2=CC=CC=C2)/C=C/C3=CC=CC=C3</v>
      </c>
      <c r="C43" s="1" t="str">
        <f t="shared" si="1"/>
        <v>CC1=C(OC=C1)S</v>
      </c>
      <c r="D43" s="1" t="str">
        <f t="shared" si="2"/>
        <v>O=C(C2=CC=CC=C2)/C=C/C3=CC=CC=C3</v>
      </c>
      <c r="E43" s="1" t="s">
        <v>145</v>
      </c>
      <c r="F43" s="1" t="s">
        <v>20</v>
      </c>
      <c r="G43" s="1" t="s">
        <v>13</v>
      </c>
      <c r="H43" s="1" t="s">
        <v>14</v>
      </c>
      <c r="I43" s="2">
        <v>93</v>
      </c>
      <c r="J43" s="2" t="s">
        <v>111</v>
      </c>
      <c r="K43" s="2"/>
      <c r="L43" s="2"/>
      <c r="M43" s="2"/>
      <c r="N43" s="2">
        <v>40</v>
      </c>
      <c r="O43" s="1" t="s">
        <v>16</v>
      </c>
      <c r="P43" s="1" t="s">
        <v>122</v>
      </c>
      <c r="Q43" s="1" t="s">
        <v>17</v>
      </c>
      <c r="R43" s="1" t="s">
        <v>18</v>
      </c>
    </row>
    <row r="44" spans="1:18" x14ac:dyDescent="0.3">
      <c r="A44" s="1" t="s">
        <v>112</v>
      </c>
      <c r="B44" s="1" t="str">
        <f t="shared" si="0"/>
        <v>SC12CC3CC(C2)CC(C1)C3.O=C(C4=CC=CC=C4)/C=C/C5=CC=CC=C5</v>
      </c>
      <c r="C44" s="1" t="str">
        <f t="shared" si="1"/>
        <v>SC12CC3CC(C2)CC(C1)C3</v>
      </c>
      <c r="D44" s="1" t="str">
        <f t="shared" si="2"/>
        <v>O=C(C4=CC=CC=C4)/C=C/C5=CC=CC=C5</v>
      </c>
      <c r="E44" s="1" t="s">
        <v>146</v>
      </c>
      <c r="F44" s="1" t="s">
        <v>113</v>
      </c>
      <c r="G44" s="1" t="s">
        <v>13</v>
      </c>
      <c r="H44" s="1" t="s">
        <v>14</v>
      </c>
      <c r="I44" s="2">
        <v>68</v>
      </c>
      <c r="J44" s="2" t="s">
        <v>114</v>
      </c>
      <c r="K44" s="2"/>
      <c r="L44" s="2"/>
      <c r="M44" s="2"/>
      <c r="N44" s="2">
        <v>6</v>
      </c>
      <c r="O44" s="1" t="s">
        <v>16</v>
      </c>
      <c r="P44" s="1" t="s">
        <v>122</v>
      </c>
      <c r="Q44" s="1" t="s">
        <v>17</v>
      </c>
      <c r="R44" s="1" t="s">
        <v>18</v>
      </c>
    </row>
    <row r="45" spans="1:18" x14ac:dyDescent="0.3">
      <c r="A45" s="1" t="s">
        <v>115</v>
      </c>
      <c r="B45" s="1" t="str">
        <f t="shared" si="0"/>
        <v>NC1=CC=CC=C1S.O=C(C2=CC=CC=C2)/C=C/C3=CC=CC=C3</v>
      </c>
      <c r="C45" s="1" t="str">
        <f t="shared" si="1"/>
        <v>NC1=CC=CC=C1S</v>
      </c>
      <c r="D45" s="1" t="str">
        <f t="shared" si="2"/>
        <v>O=C(C2=CC=CC=C2)/C=C/C3=CC=CC=C3</v>
      </c>
      <c r="E45" s="1" t="s">
        <v>147</v>
      </c>
      <c r="F45" s="1" t="s">
        <v>20</v>
      </c>
      <c r="G45" s="1" t="s">
        <v>13</v>
      </c>
      <c r="H45" s="1" t="s">
        <v>14</v>
      </c>
      <c r="I45" s="2">
        <v>82</v>
      </c>
      <c r="J45" s="2" t="s">
        <v>116</v>
      </c>
      <c r="K45" s="2"/>
      <c r="L45" s="2"/>
      <c r="M45" s="2"/>
      <c r="N45" s="2">
        <v>74</v>
      </c>
      <c r="O45" s="1" t="s">
        <v>16</v>
      </c>
      <c r="P45" s="1" t="s">
        <v>122</v>
      </c>
      <c r="Q45" s="1" t="s">
        <v>17</v>
      </c>
      <c r="R45" s="1" t="s">
        <v>18</v>
      </c>
    </row>
    <row r="46" spans="1:18" x14ac:dyDescent="0.3">
      <c r="A46" s="1" t="s">
        <v>117</v>
      </c>
      <c r="B46" s="1" t="str">
        <f t="shared" si="0"/>
        <v>COC(CS)=O.O=C(C1=CC=CC=C1)/C=C/C2=CC=CC=C2</v>
      </c>
      <c r="C46" s="1" t="str">
        <f t="shared" si="1"/>
        <v>COC(CS)=O</v>
      </c>
      <c r="D46" s="1" t="str">
        <f t="shared" si="2"/>
        <v>O=C(C1=CC=CC=C1)/C=C/C2=CC=CC=C2</v>
      </c>
      <c r="E46" s="1" t="s">
        <v>148</v>
      </c>
      <c r="F46" s="1" t="s">
        <v>20</v>
      </c>
      <c r="G46" s="1" t="s">
        <v>13</v>
      </c>
      <c r="H46" s="1" t="s">
        <v>14</v>
      </c>
      <c r="I46" s="2">
        <v>99</v>
      </c>
      <c r="J46" s="2" t="s">
        <v>118</v>
      </c>
      <c r="K46" s="2"/>
      <c r="L46" s="2"/>
      <c r="M46" s="2"/>
      <c r="N46" s="2">
        <v>43</v>
      </c>
      <c r="O46" s="1" t="s">
        <v>16</v>
      </c>
      <c r="P46" s="1" t="s">
        <v>122</v>
      </c>
      <c r="Q46" s="1" t="s">
        <v>17</v>
      </c>
      <c r="R46" s="1" t="s">
        <v>18</v>
      </c>
    </row>
    <row r="47" spans="1:18" x14ac:dyDescent="0.3">
      <c r="A47" s="1"/>
      <c r="B47" s="1" t="str">
        <f t="shared" si="0"/>
        <v>CC(NCCS)=O.O=C(/C=C/C1=CC=CC=C1)C2=CC=CC=C2</v>
      </c>
      <c r="C47" s="1" t="str">
        <f t="shared" si="1"/>
        <v>CC(NCCS)=O</v>
      </c>
      <c r="D47" s="1" t="str">
        <f t="shared" si="2"/>
        <v>O=C(/C=C/C1=CC=CC=C1)C2=CC=CC=C2</v>
      </c>
      <c r="E47" s="1" t="s">
        <v>149</v>
      </c>
      <c r="F47" s="1" t="s">
        <v>20</v>
      </c>
      <c r="G47" s="1" t="s">
        <v>13</v>
      </c>
      <c r="H47" s="1" t="s">
        <v>14</v>
      </c>
      <c r="I47" s="2">
        <v>86</v>
      </c>
      <c r="J47" s="2">
        <v>0</v>
      </c>
      <c r="K47" s="2"/>
      <c r="L47" s="2"/>
      <c r="M47" s="2"/>
      <c r="N47" s="2">
        <v>0</v>
      </c>
      <c r="O47" s="1" t="s">
        <v>16</v>
      </c>
      <c r="P47" s="1" t="s">
        <v>122</v>
      </c>
      <c r="Q47" s="1" t="s">
        <v>17</v>
      </c>
      <c r="R47" s="1" t="s">
        <v>18</v>
      </c>
    </row>
    <row r="48" spans="1:18" x14ac:dyDescent="0.3">
      <c r="A48" s="1"/>
      <c r="B48" s="1" t="str">
        <f t="shared" si="0"/>
        <v>SCC1=CC=CC=C1.O=C(C2=CC=CC=C2)/C=C/C3=CC=CC=C3</v>
      </c>
      <c r="C48" s="1" t="str">
        <f t="shared" si="1"/>
        <v>SCC1=CC=CC=C1</v>
      </c>
      <c r="D48" s="1" t="str">
        <f t="shared" si="2"/>
        <v>O=C(C2=CC=CC=C2)/C=C/C3=CC=CC=C3</v>
      </c>
      <c r="E48" s="1" t="s">
        <v>119</v>
      </c>
      <c r="F48" s="1" t="s">
        <v>20</v>
      </c>
      <c r="G48" s="1" t="s">
        <v>13</v>
      </c>
      <c r="H48" s="1" t="s">
        <v>14</v>
      </c>
      <c r="I48" s="2">
        <v>94</v>
      </c>
      <c r="J48" s="2">
        <v>95</v>
      </c>
      <c r="K48" s="2"/>
      <c r="L48" s="2"/>
      <c r="M48" s="2"/>
      <c r="N48" s="2">
        <v>95</v>
      </c>
      <c r="O48" s="1" t="s">
        <v>16</v>
      </c>
      <c r="P48" s="1" t="s">
        <v>122</v>
      </c>
      <c r="Q48" s="1" t="s">
        <v>17</v>
      </c>
      <c r="R48" s="1" t="s">
        <v>18</v>
      </c>
    </row>
    <row r="49" spans="1:18" x14ac:dyDescent="0.3">
      <c r="A49" s="1"/>
      <c r="B49" s="1" t="str">
        <f t="shared" si="0"/>
        <v>SC1=NC=CC=C1.O=C(C2=CC=CC=C2)/C=C/C3=CC=CC=C3</v>
      </c>
      <c r="C49" s="1" t="str">
        <f t="shared" si="1"/>
        <v>SC1=NC=CC=C1</v>
      </c>
      <c r="D49" s="1" t="str">
        <f t="shared" si="2"/>
        <v>O=C(C2=CC=CC=C2)/C=C/C3=CC=CC=C3</v>
      </c>
      <c r="E49" s="1" t="s">
        <v>120</v>
      </c>
      <c r="F49" s="1" t="s">
        <v>20</v>
      </c>
      <c r="G49" s="1" t="s">
        <v>13</v>
      </c>
      <c r="H49" s="1" t="s">
        <v>14</v>
      </c>
      <c r="I49" s="2">
        <v>0</v>
      </c>
      <c r="J49" s="2">
        <v>0</v>
      </c>
      <c r="K49" s="2"/>
      <c r="L49" s="2"/>
      <c r="M49" s="2"/>
      <c r="N49" s="2">
        <v>0</v>
      </c>
      <c r="O49" s="1" t="s">
        <v>16</v>
      </c>
      <c r="P49" s="1" t="s">
        <v>122</v>
      </c>
      <c r="Q49" s="1" t="s">
        <v>17</v>
      </c>
      <c r="R49" s="1" t="s">
        <v>18</v>
      </c>
    </row>
    <row r="50" spans="1:18" x14ac:dyDescent="0.3">
      <c r="A50" s="1"/>
      <c r="B50" s="1" t="str">
        <f t="shared" si="0"/>
        <v>O=C(C1=CC=CC=C1)/C=C/C2=CC=CC=C2.SC(C3=CC=CC=C3)(C4=CC=CC=C4)C5=CC=CC=C5</v>
      </c>
      <c r="C50" s="1" t="str">
        <f t="shared" si="1"/>
        <v>O=C(C1=CC=CC=C1)/C=C/C2=CC=CC=C2</v>
      </c>
      <c r="D50" s="1" t="str">
        <f t="shared" si="2"/>
        <v>SC(C3=CC=CC=C3)(C4=CC=CC=C4)C5=CC=CC=C5</v>
      </c>
      <c r="E50" s="1" t="s">
        <v>121</v>
      </c>
      <c r="F50" s="1" t="s">
        <v>20</v>
      </c>
      <c r="G50" s="1" t="s">
        <v>13</v>
      </c>
      <c r="H50" s="1" t="s">
        <v>14</v>
      </c>
      <c r="I50" s="2">
        <v>0</v>
      </c>
      <c r="J50" s="2">
        <v>0</v>
      </c>
      <c r="K50" s="2"/>
      <c r="L50" s="2"/>
      <c r="M50" s="2"/>
      <c r="N50" s="2">
        <v>0</v>
      </c>
      <c r="O50" s="1" t="s">
        <v>16</v>
      </c>
      <c r="P50" s="1" t="s">
        <v>122</v>
      </c>
      <c r="Q50" s="1" t="s">
        <v>17</v>
      </c>
      <c r="R50" s="1" t="s">
        <v>18</v>
      </c>
    </row>
    <row r="51" spans="1:18" x14ac:dyDescent="0.3">
      <c r="B51" s="1" t="str">
        <f t="shared" si="0"/>
        <v>CC1(C)COC(CC2(CC2)CS)=N1.O=C(C3=CC=CC=C3)/C=C/C4=CC=CC=C4</v>
      </c>
      <c r="C51" s="1" t="str">
        <f t="shared" si="1"/>
        <v>CC1(C)COC(CC2(CC2)CS)=N1</v>
      </c>
      <c r="D51" s="1" t="str">
        <f t="shared" si="2"/>
        <v>O=C(C3=CC=CC=C3)/C=C/C4=CC=CC=C4</v>
      </c>
      <c r="E51" t="s">
        <v>163</v>
      </c>
      <c r="F51" s="1" t="s">
        <v>20</v>
      </c>
      <c r="G51" s="1" t="s">
        <v>13</v>
      </c>
      <c r="H51" s="1" t="s">
        <v>14</v>
      </c>
      <c r="I51" s="2">
        <v>72</v>
      </c>
      <c r="J51" s="2">
        <v>27</v>
      </c>
      <c r="K51" s="2"/>
      <c r="L51" s="2"/>
      <c r="M51" s="2"/>
      <c r="N51" s="2">
        <v>27</v>
      </c>
      <c r="O51" s="1" t="s">
        <v>16</v>
      </c>
      <c r="P51" s="1" t="s">
        <v>122</v>
      </c>
      <c r="Q51" s="1" t="s">
        <v>17</v>
      </c>
      <c r="R51" s="1" t="s">
        <v>18</v>
      </c>
    </row>
    <row r="52" spans="1:18" x14ac:dyDescent="0.3">
      <c r="B52" s="1" t="str">
        <f t="shared" si="0"/>
        <v>SCC1(CC1)CC#N.O=C(/C=C/C2=CC(C(OC)OC)=CC=C2)C3=CC=CC=C3Br</v>
      </c>
      <c r="C52" s="1" t="str">
        <f t="shared" si="1"/>
        <v>SCC1(CC1)CC#N</v>
      </c>
      <c r="D52" s="1" t="str">
        <f t="shared" si="2"/>
        <v>O=C(/C=C/C2=CC(C(OC)OC)=CC=C2)C3=CC=CC=C3Br</v>
      </c>
      <c r="E52" t="s">
        <v>164</v>
      </c>
      <c r="F52" s="1" t="s">
        <v>20</v>
      </c>
      <c r="G52" s="1" t="s">
        <v>13</v>
      </c>
      <c r="H52" s="1" t="s">
        <v>14</v>
      </c>
      <c r="I52" s="2">
        <v>90</v>
      </c>
      <c r="J52" s="2">
        <v>36</v>
      </c>
      <c r="K52" s="2"/>
      <c r="L52" s="2"/>
      <c r="M52" s="2"/>
      <c r="N52" s="2">
        <v>36</v>
      </c>
      <c r="O52" s="1" t="s">
        <v>16</v>
      </c>
      <c r="P52" s="1" t="s">
        <v>122</v>
      </c>
      <c r="Q52" s="1" t="s">
        <v>17</v>
      </c>
      <c r="R52" s="1" t="s">
        <v>18</v>
      </c>
    </row>
    <row r="53" spans="1:18" x14ac:dyDescent="0.3">
      <c r="B53" s="1" t="str">
        <f t="shared" si="0"/>
        <v>SCC1(CC1)CC#N.O=C(/C=C/C2=CC(C3SCCCS3)=CC=C2)C4=CC=CC=C4Br</v>
      </c>
      <c r="C53" s="1" t="str">
        <f t="shared" si="1"/>
        <v>SCC1(CC1)CC#N</v>
      </c>
      <c r="D53" s="1" t="str">
        <f t="shared" si="2"/>
        <v>O=C(/C=C/C2=CC(C3SCCCS3)=CC=C2)C4=CC=CC=C4Br</v>
      </c>
      <c r="E53" t="s">
        <v>165</v>
      </c>
      <c r="F53" s="1" t="s">
        <v>20</v>
      </c>
      <c r="G53" s="1" t="s">
        <v>13</v>
      </c>
      <c r="H53" s="1" t="s">
        <v>14</v>
      </c>
      <c r="I53" s="2">
        <v>91</v>
      </c>
      <c r="J53" s="2">
        <v>74</v>
      </c>
      <c r="K53" s="2"/>
      <c r="L53" s="2"/>
      <c r="M53" s="2"/>
      <c r="N53" s="2">
        <v>74</v>
      </c>
      <c r="O53" s="1" t="s">
        <v>16</v>
      </c>
      <c r="P53" s="1" t="s">
        <v>122</v>
      </c>
      <c r="Q53" s="1" t="s">
        <v>17</v>
      </c>
      <c r="R53" s="1" t="s">
        <v>18</v>
      </c>
    </row>
    <row r="54" spans="1:18" x14ac:dyDescent="0.3">
      <c r="B54" s="1" t="str">
        <f t="shared" si="0"/>
        <v>SCC1(CC1)CC#N.C=CC2=CC(/C=C/C(C3=C(C=CC=C3)Br)=O)=CC=C2</v>
      </c>
      <c r="C54" s="1" t="str">
        <f t="shared" si="1"/>
        <v>SCC1(CC1)CC#N</v>
      </c>
      <c r="D54" s="1" t="str">
        <f t="shared" si="2"/>
        <v>C=CC2=CC(/C=C/C(C3=C(C=CC=C3)Br)=O)=CC=C2</v>
      </c>
      <c r="E54" t="s">
        <v>166</v>
      </c>
      <c r="F54" s="1" t="s">
        <v>20</v>
      </c>
      <c r="G54" s="1" t="s">
        <v>13</v>
      </c>
      <c r="H54" s="1" t="s">
        <v>14</v>
      </c>
      <c r="I54" s="2">
        <v>96</v>
      </c>
      <c r="J54" s="2">
        <v>52</v>
      </c>
      <c r="K54" s="2"/>
      <c r="L54" s="2"/>
      <c r="M54" s="2"/>
      <c r="N54" s="2">
        <v>52</v>
      </c>
      <c r="O54" s="1" t="s">
        <v>16</v>
      </c>
      <c r="P54" s="1" t="s">
        <v>122</v>
      </c>
      <c r="Q54" s="1" t="s">
        <v>17</v>
      </c>
      <c r="R54" s="1" t="s">
        <v>18</v>
      </c>
    </row>
    <row r="55" spans="1:18" x14ac:dyDescent="0.3">
      <c r="B55" s="1" t="str">
        <f t="shared" si="0"/>
        <v>SCC1(CC1)CC(OC)=O.O=CC2=CC=CC(/C=C/C(C3=C(C=CC=C3)C(OC)=O)=O)=C2</v>
      </c>
      <c r="C55" s="1" t="str">
        <f t="shared" si="1"/>
        <v>SCC1(CC1)CC(OC)=O</v>
      </c>
      <c r="D55" s="1" t="str">
        <f t="shared" si="2"/>
        <v>O=CC2=CC=CC(/C=C/C(C3=C(C=CC=C3)C(OC)=O)=O)=C2</v>
      </c>
      <c r="E55" t="s">
        <v>167</v>
      </c>
      <c r="F55" s="1" t="s">
        <v>20</v>
      </c>
      <c r="G55" s="1" t="s">
        <v>13</v>
      </c>
      <c r="H55" s="1" t="s">
        <v>14</v>
      </c>
      <c r="I55" s="2">
        <v>3</v>
      </c>
      <c r="J55" s="2">
        <v>0</v>
      </c>
      <c r="K55" s="2"/>
      <c r="L55" s="2"/>
      <c r="M55" s="2"/>
      <c r="N55" s="2">
        <v>0</v>
      </c>
      <c r="O55" s="1" t="s">
        <v>16</v>
      </c>
      <c r="P55" s="1" t="s">
        <v>122</v>
      </c>
      <c r="Q55" s="1" t="s">
        <v>17</v>
      </c>
      <c r="R55" s="1" t="s">
        <v>18</v>
      </c>
    </row>
    <row r="56" spans="1:18" x14ac:dyDescent="0.3">
      <c r="B56" s="1" t="str">
        <f t="shared" si="0"/>
        <v>SCC1(CC1)CC(OC)=O.BrC2=CC=CC(/C=C/C(C3=C(C=CC=C3)C(OC)=O)=O)=C2</v>
      </c>
      <c r="C56" s="1" t="str">
        <f t="shared" si="1"/>
        <v>SCC1(CC1)CC(OC)=O</v>
      </c>
      <c r="D56" s="1" t="str">
        <f t="shared" si="2"/>
        <v>BrC2=CC=CC(/C=C/C(C3=C(C=CC=C3)C(OC)=O)=O)=C2</v>
      </c>
      <c r="E56" t="s">
        <v>168</v>
      </c>
      <c r="F56" s="1" t="s">
        <v>20</v>
      </c>
      <c r="G56" s="1" t="s">
        <v>13</v>
      </c>
      <c r="H56" s="1" t="s">
        <v>14</v>
      </c>
      <c r="I56" s="2">
        <v>59</v>
      </c>
      <c r="J56" s="2">
        <v>44</v>
      </c>
      <c r="K56" s="2"/>
      <c r="L56" s="2"/>
      <c r="M56" s="2"/>
      <c r="N56" s="2">
        <v>44</v>
      </c>
      <c r="O56" s="1" t="s">
        <v>16</v>
      </c>
      <c r="P56" s="1" t="s">
        <v>122</v>
      </c>
      <c r="Q56" s="1" t="s">
        <v>17</v>
      </c>
      <c r="R56" s="1" t="s">
        <v>18</v>
      </c>
    </row>
    <row r="57" spans="1:18" x14ac:dyDescent="0.3">
      <c r="B57" s="1" t="str">
        <f t="shared" si="0"/>
        <v>SCC1(CC1)CC(OC)=O.C=CC2=CC(/C=C/C(C3=C(C=CC=C3)Br)=O)=CC=C2</v>
      </c>
      <c r="C57" s="1" t="str">
        <f t="shared" si="1"/>
        <v>SCC1(CC1)CC(OC)=O</v>
      </c>
      <c r="D57" s="1" t="str">
        <f t="shared" si="2"/>
        <v>C=CC2=CC(/C=C/C(C3=C(C=CC=C3)Br)=O)=CC=C2</v>
      </c>
      <c r="E57" t="s">
        <v>169</v>
      </c>
      <c r="F57" s="1" t="s">
        <v>20</v>
      </c>
      <c r="G57" s="1" t="s">
        <v>13</v>
      </c>
      <c r="H57" s="1" t="s">
        <v>14</v>
      </c>
      <c r="I57" s="2">
        <v>84</v>
      </c>
      <c r="J57" s="2">
        <v>60</v>
      </c>
      <c r="K57" s="2"/>
      <c r="L57" s="2"/>
      <c r="M57" s="2"/>
      <c r="N57" s="2">
        <v>60</v>
      </c>
      <c r="O57" s="1" t="s">
        <v>16</v>
      </c>
      <c r="P57" s="1" t="s">
        <v>122</v>
      </c>
      <c r="Q57" s="1" t="s">
        <v>17</v>
      </c>
      <c r="R57" s="1" t="s">
        <v>18</v>
      </c>
    </row>
    <row r="58" spans="1:18" x14ac:dyDescent="0.3">
      <c r="B58" s="1" t="str">
        <f t="shared" si="0"/>
        <v>SCC1(CC1)CC(O)=O.O=C(/C=C/C2=CC=CC=C2)C3=CC=CC=C3</v>
      </c>
      <c r="C58" s="1" t="str">
        <f t="shared" si="1"/>
        <v>SCC1(CC1)CC(O)=O</v>
      </c>
      <c r="D58" s="1" t="str">
        <f t="shared" si="2"/>
        <v>O=C(/C=C/C2=CC=CC=C2)C3=CC=CC=C3</v>
      </c>
      <c r="E58" t="s">
        <v>151</v>
      </c>
      <c r="F58" s="1" t="s">
        <v>150</v>
      </c>
      <c r="G58" s="1" t="s">
        <v>13</v>
      </c>
      <c r="H58" s="1" t="s">
        <v>14</v>
      </c>
      <c r="I58" s="2">
        <v>0</v>
      </c>
      <c r="J58" s="2">
        <v>0</v>
      </c>
      <c r="K58" s="2"/>
      <c r="L58" s="2"/>
      <c r="M58" s="2"/>
      <c r="N58" s="2">
        <v>0</v>
      </c>
      <c r="O58" s="1" t="s">
        <v>16</v>
      </c>
      <c r="P58" s="1" t="s">
        <v>122</v>
      </c>
      <c r="Q58" s="1" t="s">
        <v>17</v>
      </c>
      <c r="R58" s="1" t="s">
        <v>18</v>
      </c>
    </row>
    <row r="59" spans="1:18" x14ac:dyDescent="0.3">
      <c r="B59" s="1" t="str">
        <f t="shared" si="0"/>
        <v>O=C(C1=CC=CC=C1)/C(C)=C/C.SCC2=CC=CC=C2</v>
      </c>
      <c r="C59" s="1" t="str">
        <f t="shared" si="1"/>
        <v>O=C(C1=CC=CC=C1)/C(C)=C/C</v>
      </c>
      <c r="D59" s="1" t="str">
        <f t="shared" si="2"/>
        <v>SCC2=CC=CC=C2</v>
      </c>
      <c r="E59" t="s">
        <v>170</v>
      </c>
      <c r="F59" s="1" t="s">
        <v>152</v>
      </c>
      <c r="G59" s="1" t="s">
        <v>13</v>
      </c>
      <c r="H59" s="1" t="s">
        <v>14</v>
      </c>
      <c r="I59" s="2">
        <v>75</v>
      </c>
      <c r="J59" s="2">
        <v>58</v>
      </c>
      <c r="K59" s="2"/>
      <c r="L59" s="2"/>
      <c r="M59" s="2"/>
      <c r="N59" s="2">
        <v>58</v>
      </c>
      <c r="O59" s="1" t="s">
        <v>16</v>
      </c>
      <c r="P59" s="1" t="s">
        <v>122</v>
      </c>
      <c r="Q59" s="1" t="s">
        <v>17</v>
      </c>
      <c r="R59" s="1" t="s">
        <v>18</v>
      </c>
    </row>
    <row r="60" spans="1:18" x14ac:dyDescent="0.3">
      <c r="B60" s="1" t="str">
        <f t="shared" si="0"/>
        <v>SCC1=CC=CC=C1.O=C(/C(C2=CC=CC=C2)=C/C3=CC=CC=C3)C4=CC=CC=C4</v>
      </c>
      <c r="C60" s="1" t="str">
        <f t="shared" si="1"/>
        <v>SCC1=CC=CC=C1</v>
      </c>
      <c r="D60" s="1" t="str">
        <f t="shared" si="2"/>
        <v>O=C(/C(C2=CC=CC=C2)=C/C3=CC=CC=C3)C4=CC=CC=C4</v>
      </c>
      <c r="E60" t="s">
        <v>153</v>
      </c>
      <c r="F60" s="1" t="s">
        <v>154</v>
      </c>
      <c r="G60" s="1" t="s">
        <v>13</v>
      </c>
      <c r="H60" s="1" t="s">
        <v>14</v>
      </c>
      <c r="I60" s="2">
        <v>49</v>
      </c>
      <c r="J60" s="2">
        <v>80</v>
      </c>
      <c r="K60" s="2"/>
      <c r="L60" s="2"/>
      <c r="M60" s="2"/>
      <c r="N60" s="2">
        <v>80</v>
      </c>
      <c r="O60" s="1" t="s">
        <v>16</v>
      </c>
      <c r="P60" s="1" t="s">
        <v>122</v>
      </c>
      <c r="Q60" s="1" t="s">
        <v>17</v>
      </c>
      <c r="R60" s="1" t="s">
        <v>18</v>
      </c>
    </row>
    <row r="61" spans="1:18" x14ac:dyDescent="0.3">
      <c r="B61" s="1" t="str">
        <f t="shared" si="0"/>
        <v>SCC1=CC=CC=C1.C/C(C(C2=CC=CC=C2)=O)=C\C=C\C3=CC=CC=C3</v>
      </c>
      <c r="C61" s="1" t="str">
        <f t="shared" si="1"/>
        <v>SCC1=CC=CC=C1</v>
      </c>
      <c r="D61" s="1" t="str">
        <f t="shared" si="2"/>
        <v>C/C(C(C2=CC=CC=C2)=O)=C\C=C\C3=CC=CC=C3</v>
      </c>
      <c r="E61" t="s">
        <v>158</v>
      </c>
      <c r="F61" s="1" t="s">
        <v>155</v>
      </c>
      <c r="G61" s="1" t="s">
        <v>13</v>
      </c>
      <c r="H61" s="1" t="s">
        <v>14</v>
      </c>
      <c r="I61" s="2">
        <v>0</v>
      </c>
      <c r="J61" s="2">
        <v>0</v>
      </c>
      <c r="K61" s="2"/>
      <c r="L61" s="2"/>
      <c r="M61" s="2"/>
      <c r="N61" s="2">
        <v>0</v>
      </c>
      <c r="O61" s="1" t="s">
        <v>16</v>
      </c>
      <c r="P61" s="1" t="s">
        <v>122</v>
      </c>
      <c r="Q61" s="1" t="s">
        <v>17</v>
      </c>
      <c r="R61" s="1" t="s">
        <v>18</v>
      </c>
    </row>
    <row r="62" spans="1:18" x14ac:dyDescent="0.3">
      <c r="B62" s="1" t="str">
        <f t="shared" si="0"/>
        <v>SCC1=CC=CC=C1.C/C(C(C2=CC=CC=C2)=O)=C\C3=CC=CS3</v>
      </c>
      <c r="C62" s="1" t="str">
        <f t="shared" si="1"/>
        <v>SCC1=CC=CC=C1</v>
      </c>
      <c r="D62" s="1" t="str">
        <f t="shared" si="2"/>
        <v>C/C(C(C2=CC=CC=C2)=O)=C\C3=CC=CS3</v>
      </c>
      <c r="E62" t="s">
        <v>159</v>
      </c>
      <c r="F62" s="1" t="s">
        <v>156</v>
      </c>
      <c r="G62" s="1" t="s">
        <v>13</v>
      </c>
      <c r="H62" s="1" t="s">
        <v>14</v>
      </c>
      <c r="I62" s="2">
        <v>0</v>
      </c>
      <c r="J62" s="2">
        <v>0</v>
      </c>
      <c r="K62" s="2"/>
      <c r="L62" s="2"/>
      <c r="M62" s="2"/>
      <c r="N62" s="2">
        <v>0</v>
      </c>
      <c r="O62" s="1" t="s">
        <v>16</v>
      </c>
      <c r="P62" s="1" t="s">
        <v>122</v>
      </c>
      <c r="Q62" s="1" t="s">
        <v>17</v>
      </c>
      <c r="R62" s="1" t="s">
        <v>18</v>
      </c>
    </row>
    <row r="63" spans="1:18" x14ac:dyDescent="0.3">
      <c r="B63" s="1" t="str">
        <f t="shared" si="0"/>
        <v>SCC1=CC=CC=C1.O=C2C(C=CC=C3)=C3CC/C2=C\C=C\C4=CC=CC=C4</v>
      </c>
      <c r="C63" s="1" t="str">
        <f t="shared" si="1"/>
        <v>SCC1=CC=CC=C1</v>
      </c>
      <c r="D63" s="1" t="str">
        <f t="shared" si="2"/>
        <v>O=C2C(C=CC=C3)=C3CC/C2=C\C=C\C4=CC=CC=C4</v>
      </c>
      <c r="E63" t="s">
        <v>160</v>
      </c>
      <c r="F63" s="1" t="s">
        <v>157</v>
      </c>
      <c r="G63" s="1" t="s">
        <v>13</v>
      </c>
      <c r="H63" s="1" t="s">
        <v>14</v>
      </c>
      <c r="I63" s="2">
        <v>0</v>
      </c>
      <c r="J63" s="2">
        <v>0</v>
      </c>
      <c r="K63" s="2"/>
      <c r="L63" s="2"/>
      <c r="M63" s="2"/>
      <c r="N63" s="2">
        <v>0</v>
      </c>
      <c r="O63" s="1" t="s">
        <v>16</v>
      </c>
      <c r="P63" s="1" t="s">
        <v>122</v>
      </c>
      <c r="Q63" s="1" t="s">
        <v>17</v>
      </c>
      <c r="R63" s="1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2024-09-26T14:19:50Z</dcterms:created>
  <dcterms:modified xsi:type="dcterms:W3CDTF">2024-10-17T18:23:00Z</dcterms:modified>
</cp:coreProperties>
</file>